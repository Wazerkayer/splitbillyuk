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NFIG" sheetId="2" state="visible" r:id="rId4"/>
    <sheet name="SCORE CALC" sheetId="3" state="visible" r:id="rId5"/>
    <sheet name="RESULT" sheetId="4" state="visible" r:id="rId6"/>
    <sheet name="SUMMARY" sheetId="5" state="visible" r:id="rId7"/>
    <sheet name="HISTORICAL" sheetId="6" state="visible" r:id="rId8"/>
    <sheet name="RAW DATA Q1 - 1" sheetId="7" state="visible" r:id="rId9"/>
    <sheet name="RAW DATA Q1 - 2"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<sst xmlns="http://schemas.openxmlformats.org/spreadsheetml/2006/main" count="1092" uniqueCount="610">
  <si>
    <t xml:space="preserve">CRITICAL SUPPLIER PERFORMANCE REVIEW — REVAMPED WORKBOOK</t>
  </si>
  <si>
    <t xml:space="preserve">Remediation &amp; Restructuring Q1 2026 → Template Reusable untuk Q2 2026</t>
  </si>
  <si>
    <t xml:space="preserve">1. APA YANG BERUBAH DARI FILE ASLI</t>
  </si>
  <si>
    <t xml:space="preserve">• 18 sheet per-supplier (ITSEC, IPROTEKSI, dst) dengan angka HARDCODE dikonsolidasikan menjadi 1 sheet SCORE CALC — semua nilai sekarang formula, ditarik LANGSUNG dari RAW DATA, tidak ada lagi copy-paste manual.</t>
  </si>
  <si>
    <t xml:space="preserve">• Sheet CONFIG baru ditambahkan: berisi mapping kolom (Quality/Timeline/Relationship) per supplier ke RAW DATA. Ini yang membuat file REUSABLE — untuk Q2, cukup update kolom 'Raw Sheet Name' di CONFIG dan tempel data baru, seluruh perhitungan otomatis mengikuti.</t>
  </si>
  <si>
    <t xml:space="preserve">• Sheet RESULT dirombak: Total Score, Status, Remarks, dan DD Result (by User) sekarang 100% formula (live link ke raw data). Kolom 'Assessment Result (by SRM)' dan 'Repetition of Below Expectation' tetap manual input (kuning) karena butuh judgement SRM, bukan hasil kalkulasi.</t>
  </si>
  <si>
    <t xml:space="preserve">• Sheet SUMMARY diperbaiki: '% Vendor Dievaluasi' sebelumnya menampilkan angka mentah (1) alih-alih persentase — sekarang benar (0%-100%) dan berbasis formula, bukan hitung manual.</t>
  </si>
  <si>
    <t xml:space="preserve">• Sheet HISTORICAL: kolom skor Q1 2026 sekarang live-link ke RESULT (bukan angka mati), dan status (Meet/Exceed/dst) memakai formula ambang batas yang SAMA dengan kolom tahun-tahun sebelumnya (sebelumnya kolom Q1 2026 di-ketik manual, tidak konsisten dengan formula tahun lalu).</t>
  </si>
  <si>
    <t xml:space="preserve">• Sheet 'Sheet1' (draft yang tidak terpakai, cuma 1 baris) dihapus.</t>
  </si>
  <si>
    <t xml:space="preserve">2. BUG YANG DITEMUKAN &amp; DIPERBAIKI (PENTING)</t>
  </si>
  <si>
    <t xml:space="preserve">Saat formula lama diganti dengan link otomatis ke raw data, ditemukan 3 kesalahan formula di file asli:</t>
  </si>
  <si>
    <t xml:space="preserve">  a) Satria Antaran Prima – Mailing Room: formula Timeline ("=AVERAGE(I3:P3)*35%") salah rentang — ikut merata-ratakan kolom Quality &amp; hasil weighted Quality (M3) alih-alih hanya kolom Timeline (N:P). Total Score resmi 3.063272 → seharusnya 3.404167. Status TETAP 'Meet Expectation', tidak berubah.</t>
  </si>
  <si>
    <t xml:space="preserve">  b) Reycom Document Solution (Printing &amp; DMC): formula Relationship di S3 tertulis "=AVERAGE(30%)" (bug ketik — hanya merata-ratakan angka 30%, bukan skor asli 5,5,5 dari user). Total Score resmi 3.566667 → seharusnya 4.766667. Status BERUBAH dari 'Meet Expectation' menjadi 'Exceed Expectation'. Ini temuan paling signifikan — mohon dikonfirmasi ke SRM/tim terkait karena bisa mempengaruhi rekomendasi kontrak vendor ini.</t>
  </si>
  <si>
    <t xml:space="preserve">  c) HISTORICAL!T18 &amp; T19 (kolom Repetition untuk TMF &amp; Reycom): formula VLOOKUP menunjuk ke file eksternal ('[1]RESULT!...') yang sudah tidak ada, sehingga akan error #NAME? begitu file dibuka ulang di aplikasi manapun selain cache lama. Sudah diganti dengan nilai terakhir yang ter-cache (3 dan 3.541667).</t>
  </si>
  <si>
    <t xml:space="preserve">3. CARA PAKAI UNTUK Q2 2026</t>
  </si>
  <si>
    <t xml:space="preserve">  1) Tempel hasil export Microsoft Forms Q2 sebagai sheet baru, misal 'RAW DATA Q2 - 1' / 'RAW DATA Q2 - 2' (pastikan struktur kolom &amp; urutan pertanyaan SAMA seperti Q1 — jika Forms diubah, kolom Quality/Timeline/Relationship di CONFIG perlu disesuaikan ulang).</t>
  </si>
  <si>
    <t xml:space="preserve">  2) Di sheet CONFIG, update kolom 'Raw Sheet Name' untuk tiap supplier ke nama sheet Q2 yang baru. Jika ada supplier baru, tambahkan baris baru di CONFIG + baris baru mengikuti di SCORE CALC &amp; RESULT (copy formula dari baris di atasnya, sesuaikan nomor baris).</t>
  </si>
  <si>
    <t xml:space="preserve">  3) Semua skor di SCORE CALC dan RESULT akan otomatis ter-update. Isi manual hanya 2 kolom di RESULT: 'Assessment Result (by SRM)' dan 'Repetition of Below Expectation'.</t>
  </si>
  <si>
    <t xml:space="preserve">  4) Tambahkan kolom baru di HISTORICAL (misal AB/AC/AD untuk Q2 2026 Score/Comment/Remarks), link Score ke RESULT seperti pola Q1, dan pakai formula ambang batas yang sama (lihat kolom Y/AA sebagai contoh).</t>
  </si>
  <si>
    <t xml:space="preserve">  5) Update SUMMARY!B2 (Periode Review) dan B4 (Total Vendor Kritis) sesuai kondisi Q2.</t>
  </si>
  <si>
    <t xml:space="preserve">4. STRUKTUR SHEET</t>
  </si>
  <si>
    <t xml:space="preserve">  README        — panduan ini</t>
  </si>
  <si>
    <t xml:space="preserve">  CONFIG        — mapping supplier ke kolom raw data (edit di sini untuk quarter baru)</t>
  </si>
  <si>
    <t xml:space="preserve">  RAW DATA Q1 - 1 / 2  — data mentah asli dari Microsoft Forms (jangan diedit, ini sumber data)</t>
  </si>
  <si>
    <t xml:space="preserve">  SCORE CALC    — kalkulasi skor otomatis per supplier (Quality/Timeline/Relationship/Total/Status)</t>
  </si>
  <si>
    <t xml:space="preserve">  RESULT        — tabel konsolidasi hasil akhir per supplier, siap dipakai untuk laporan</t>
  </si>
  <si>
    <t xml:space="preserve">  SUMMARY       — ringkasan keseluruhan (jumlah vendor, % evaluasi, status)</t>
  </si>
  <si>
    <t xml:space="preserve">  HISTORICAL    — tren skor lintas kuartal/tahun per supplier</t>
  </si>
  <si>
    <t xml:space="preserve">5. AMBANG BATAS STATUS (mengikuti metodologi HISTORICAL yang sudah ada)</t>
  </si>
  <si>
    <t xml:space="preserve">  Score &gt; 4.99        → Exceptional</t>
  </si>
  <si>
    <t xml:space="preserve">  Score &gt; 3.99         → Exceed Expectation</t>
  </si>
  <si>
    <t xml:space="preserve">  Score &gt;= 2.99       → Meet Expectation</t>
  </si>
  <si>
    <t xml:space="preserve">  Score &gt; 1.9          → Below Expectation</t>
  </si>
  <si>
    <t xml:space="preserve">  Score &lt;= 1.9        → Unsatisfactory</t>
  </si>
  <si>
    <t xml:space="preserve">No</t>
  </si>
  <si>
    <t xml:space="preserve">Supplier &amp; Service (Key)</t>
  </si>
  <si>
    <t xml:space="preserve">PIC Email</t>
  </si>
  <si>
    <t xml:space="preserve">Raw Sheet Name (Quarter Aktif)</t>
  </si>
  <si>
    <t xml:space="preserve">Quality Col Start</t>
  </si>
  <si>
    <t xml:space="preserve">Quality Col End</t>
  </si>
  <si>
    <t xml:space="preserve">Timeline Col Start</t>
  </si>
  <si>
    <t xml:space="preserve">Timeline Col End</t>
  </si>
  <si>
    <t xml:space="preserve">Relationship Col Start</t>
  </si>
  <si>
    <t xml:space="preserve">Relationship Col End</t>
  </si>
  <si>
    <t xml:space="preserve">Remarks Col</t>
  </si>
  <si>
    <t xml:space="preserve">Financial Assessment Col</t>
  </si>
  <si>
    <t xml:space="preserve">Reputational Col</t>
  </si>
  <si>
    <t xml:space="preserve">DPIA Required Col</t>
  </si>
  <si>
    <t xml:space="preserve">DPSQ Required Col</t>
  </si>
  <si>
    <t xml:space="preserve">VSDDT Required Col</t>
  </si>
  <si>
    <t xml:space="preserve">Action Plan Col</t>
  </si>
  <si>
    <t xml:space="preserve">Itsec Asia - Penetration Testing</t>
  </si>
  <si>
    <t xml:space="preserve">fauzi.aryanto@axa-mandiri.co.id</t>
  </si>
  <si>
    <t xml:space="preserve">RAW DATA Q1 - 1</t>
  </si>
  <si>
    <t xml:space="preserve">FJ</t>
  </si>
  <si>
    <t xml:space="preserve">FL</t>
  </si>
  <si>
    <t xml:space="preserve">FN</t>
  </si>
  <si>
    <t xml:space="preserve">FP</t>
  </si>
  <si>
    <t xml:space="preserve">GH</t>
  </si>
  <si>
    <t xml:space="preserve">GJ</t>
  </si>
  <si>
    <t xml:space="preserve">GS</t>
  </si>
  <si>
    <t xml:space="preserve">GK</t>
  </si>
  <si>
    <t xml:space="preserve">GL</t>
  </si>
  <si>
    <t xml:space="preserve">GM</t>
  </si>
  <si>
    <t xml:space="preserve">GN</t>
  </si>
  <si>
    <t xml:space="preserve">GO</t>
  </si>
  <si>
    <t xml:space="preserve">GQ</t>
  </si>
  <si>
    <t xml:space="preserve">Iproteksi Telematika - Penetration Testing</t>
  </si>
  <si>
    <t xml:space="preserve">FG</t>
  </si>
  <si>
    <t xml:space="preserve">FI</t>
  </si>
  <si>
    <t xml:space="preserve">FPT Metrodata - Penetration Testing</t>
  </si>
  <si>
    <t xml:space="preserve">FD</t>
  </si>
  <si>
    <t xml:space="preserve">FF</t>
  </si>
  <si>
    <t xml:space="preserve">Satria Antaran Prima - Mailing Room</t>
  </si>
  <si>
    <t xml:space="preserve">ibnu.kumala@axa-mandiri.co.id</t>
  </si>
  <si>
    <t xml:space="preserve">DX</t>
  </si>
  <si>
    <t xml:space="preserve">EE</t>
  </si>
  <si>
    <t xml:space="preserve">Informasi Teknologi Indonesia - SMS Broadcast</t>
  </si>
  <si>
    <t xml:space="preserve">fifin.sarinurlita@axa-mandiri.co.id</t>
  </si>
  <si>
    <t xml:space="preserve">AA</t>
  </si>
  <si>
    <t xml:space="preserve">AK</t>
  </si>
  <si>
    <t xml:space="preserve">FO</t>
  </si>
  <si>
    <t xml:space="preserve">FS</t>
  </si>
  <si>
    <t xml:space="preserve">Satria Antaran Prima - Courier Service</t>
  </si>
  <si>
    <t xml:space="preserve">DI</t>
  </si>
  <si>
    <t xml:space="preserve">DW</t>
  </si>
  <si>
    <t xml:space="preserve">GE</t>
  </si>
  <si>
    <t xml:space="preserve">GG</t>
  </si>
  <si>
    <t xml:space="preserve">Multifiling Mitra Indonesia - Record Management Service</t>
  </si>
  <si>
    <t xml:space="preserve">AY</t>
  </si>
  <si>
    <t xml:space="preserve">BI</t>
  </si>
  <si>
    <t xml:space="preserve">FU</t>
  </si>
  <si>
    <t xml:space="preserve">FX</t>
  </si>
  <si>
    <t xml:space="preserve">Indosat - Layanan PBX berbasiskan cloud dengan Teknologi SIP Trunk</t>
  </si>
  <si>
    <t xml:space="preserve">nuril.hudha@axa-mandiri.co.id</t>
  </si>
  <si>
    <t xml:space="preserve">G</t>
  </si>
  <si>
    <t xml:space="preserve">Z</t>
  </si>
  <si>
    <t xml:space="preserve">Ciptadra Softindo - Pemeliharaan Axits &amp; DMTM</t>
  </si>
  <si>
    <t xml:space="preserve">raninta.mahardi@axa-mandiri.co.id</t>
  </si>
  <si>
    <t xml:space="preserve">BJ</t>
  </si>
  <si>
    <t xml:space="preserve">BW</t>
  </si>
  <si>
    <t xml:space="preserve">FY</t>
  </si>
  <si>
    <t xml:space="preserve">GD</t>
  </si>
  <si>
    <t xml:space="preserve">Target Sukses Sinergi - Email Marketing Automation</t>
  </si>
  <si>
    <t xml:space="preserve">bella.depari@axa-mandiri.co.id</t>
  </si>
  <si>
    <t xml:space="preserve">EF</t>
  </si>
  <si>
    <t xml:space="preserve">EL</t>
  </si>
  <si>
    <t xml:space="preserve">Inmotion Inovasi Teknologi - Jasa Aplikasi Chatbot dan Live Chat</t>
  </si>
  <si>
    <t xml:space="preserve">djoko.djoko@axa-mandiri.co.id</t>
  </si>
  <si>
    <t xml:space="preserve">BX</t>
  </si>
  <si>
    <t xml:space="preserve">DH</t>
  </si>
  <si>
    <t xml:space="preserve">Mitra Integrasi Informatika - SFDC Maintenance</t>
  </si>
  <si>
    <t xml:space="preserve">chandra.putra@axa-mandiri.co.id</t>
  </si>
  <si>
    <t xml:space="preserve">AL</t>
  </si>
  <si>
    <t xml:space="preserve">AX</t>
  </si>
  <si>
    <t xml:space="preserve">Sutra Management Consultancies - Implementasi SAS IFRS17</t>
  </si>
  <si>
    <t xml:space="preserve">andreas.boedijanto@axa-mandiri.co.id</t>
  </si>
  <si>
    <t xml:space="preserve">RAW DATA Q1 - 2</t>
  </si>
  <si>
    <t xml:space="preserve">AT</t>
  </si>
  <si>
    <t xml:space="preserve">BN</t>
  </si>
  <si>
    <t xml:space="preserve">CJ</t>
  </si>
  <si>
    <t xml:space="preserve">CL</t>
  </si>
  <si>
    <t xml:space="preserve">CS</t>
  </si>
  <si>
    <t xml:space="preserve">CU</t>
  </si>
  <si>
    <t xml:space="preserve">DF</t>
  </si>
  <si>
    <t xml:space="preserve">CV</t>
  </si>
  <si>
    <t xml:space="preserve">CW</t>
  </si>
  <si>
    <t xml:space="preserve">CX</t>
  </si>
  <si>
    <t xml:space="preserve">CZ</t>
  </si>
  <si>
    <t xml:space="preserve">DB</t>
  </si>
  <si>
    <t xml:space="preserve">DD</t>
  </si>
  <si>
    <t xml:space="preserve">Reycom Document Solution - Printing &amp; Data Management Center</t>
  </si>
  <si>
    <t xml:space="preserve">yulia.kurniati@axa-mandiri.co.id</t>
  </si>
  <si>
    <t xml:space="preserve">CD</t>
  </si>
  <si>
    <t xml:space="preserve">CI</t>
  </si>
  <si>
    <t xml:space="preserve">CM</t>
  </si>
  <si>
    <t xml:space="preserve">CO</t>
  </si>
  <si>
    <t xml:space="preserve">Arah Sejahtera Abadi - Perjanjian Sewa Menyewa</t>
  </si>
  <si>
    <t xml:space="preserve">AH</t>
  </si>
  <si>
    <t xml:space="preserve">Deloitte Consulting - Data Privacy &amp; Pelatihan Personal Data Protection (PDP)</t>
  </si>
  <si>
    <t xml:space="preserve">sony.nugroho@axa-mandiri.co.id</t>
  </si>
  <si>
    <t xml:space="preserve">AI</t>
  </si>
  <si>
    <t xml:space="preserve">AS</t>
  </si>
  <si>
    <t xml:space="preserve">TMF Indonesia - Payroll</t>
  </si>
  <si>
    <t xml:space="preserve">enung.haryati@axa-mandiri.co.id</t>
  </si>
  <si>
    <t xml:space="preserve">CC</t>
  </si>
  <si>
    <t xml:space="preserve">CP</t>
  </si>
  <si>
    <t xml:space="preserve">CR</t>
  </si>
  <si>
    <t xml:space="preserve">Karya Putra Surya Gemilang - Telemarketing Revamp Project</t>
  </si>
  <si>
    <t xml:space="preserve">reza.resdilana@axa-mandiri.co.id</t>
  </si>
  <si>
    <t xml:space="preserve">O</t>
  </si>
  <si>
    <t xml:space="preserve">Y</t>
  </si>
  <si>
    <t xml:space="preserve">Supplier &amp; Service</t>
  </si>
  <si>
    <t xml:space="preserve">Match Row (helper)</t>
  </si>
  <si>
    <t xml:space="preserve">Quality Avg (35%)</t>
  </si>
  <si>
    <t xml:space="preserve">Timeline Avg (35%)</t>
  </si>
  <si>
    <t xml:space="preserve">Relationship Avg (30%)</t>
  </si>
  <si>
    <t xml:space="preserve">TOTAL SCORE</t>
  </si>
  <si>
    <t xml:space="preserve">STATUS</t>
  </si>
  <si>
    <t xml:space="preserve">Supplier Name</t>
  </si>
  <si>
    <t xml:space="preserve">Service</t>
  </si>
  <si>
    <t xml:space="preserve">PIC (User)</t>
  </si>
  <si>
    <t xml:space="preserve">Total Score</t>
  </si>
  <si>
    <t xml:space="preserve">Status</t>
  </si>
  <si>
    <t xml:space="preserve">Remarks (dari User)</t>
  </si>
  <si>
    <t xml:space="preserve">DD Result (by User) - Auto</t>
  </si>
  <si>
    <t xml:space="preserve">Assessment Result (by SRM) - Manual Input</t>
  </si>
  <si>
    <t xml:space="preserve">Repetition Below Expectation - Manual Input</t>
  </si>
  <si>
    <t xml:space="preserve">Helper: Below Expectation/Unsatisfactory Name</t>
  </si>
  <si>
    <t xml:space="preserve">CRITICAL SUPPLIER PERFORMANCE REVIEW - SUMMARY</t>
  </si>
  <si>
    <t xml:space="preserve">Periode Review</t>
  </si>
  <si>
    <t xml:space="preserve">Q1 2026</t>
  </si>
  <si>
    <t xml:space="preserve">Jumlah Vendor Dievaluasi (dari RESULT)</t>
  </si>
  <si>
    <t xml:space="preserve">Total Vendor Kritis (Master List) - Input Manual</t>
  </si>
  <si>
    <t xml:space="preserve">% Vendor Dievaluasi</t>
  </si>
  <si>
    <t xml:space="preserve">Jumlah "Meet / Exceed Expectation"</t>
  </si>
  <si>
    <t xml:space="preserve">Jumlah "Under Performance" (Below Expectation)</t>
  </si>
  <si>
    <t xml:space="preserve">Vendor Critical Below Expectation</t>
  </si>
  <si>
    <t xml:space="preserve">Suppliers Name</t>
  </si>
  <si>
    <t xml:space="preserve">Service Scope</t>
  </si>
  <si>
    <t xml:space="preserve">Q1</t>
  </si>
  <si>
    <t xml:space="preserve">Q2</t>
  </si>
  <si>
    <t xml:space="preserve">Q3</t>
  </si>
  <si>
    <t xml:space="preserve">Q4</t>
  </si>
  <si>
    <t xml:space="preserve">Repetition of Below Expectation</t>
  </si>
  <si>
    <t xml:space="preserve">Remarks</t>
  </si>
  <si>
    <t xml:space="preserve">Score</t>
  </si>
  <si>
    <t xml:space="preserve">User Comment</t>
  </si>
  <si>
    <t xml:space="preserve">INDOSAT</t>
  </si>
  <si>
    <t xml:space="preserve">LAYANAN PBX BERBASISKAN CLOUD DENGAN TEKNOLOGI SIP TRUNK</t>
  </si>
  <si>
    <t xml:space="preserve">Need improvement for the part of fair and to be  more responsive to solve issues.</t>
  </si>
  <si>
    <t xml:space="preserve">1. Dashboard access to required user
2. Response time to be improved as promised
3. To be more proactive in update the progress
4. To provide regular report (usage, recording, etc)</t>
  </si>
  <si>
    <t xml:space="preserve">improve responsiveness when there is problem appear, and more proactive ask client follow up for the re-solution work or not after fixing. have plan maintenance and communicated earlier to client so client can aware about maintenance process.</t>
  </si>
  <si>
    <t xml:space="preserve">Below Expectation</t>
  </si>
  <si>
    <t xml:space="preserve">3X</t>
  </si>
  <si>
    <t xml:space="preserve">Sudah dilakukan pemanggilan terhadap vendor yang bersangkutan dan pada Q3 terjadi perbaikan performance pada aspek kualitas jasa yang diberikan, dan pemenuhan timeline SLA</t>
  </si>
  <si>
    <t xml:space="preserve">PLEASE KINDLY IMPROVE REQUIRED REPORT DELIVERY AS AGREED WITH ANALYZED DATA FOR BUSINESS CONSIDERATION.</t>
  </si>
  <si>
    <t xml:space="preserve">BELOW EXPECTATION</t>
  </si>
  <si>
    <t xml:space="preserve">INFORMASI TEKNOLOGI INDONESIA</t>
  </si>
  <si>
    <t xml:space="preserve">PENYEDIAAN JASA SMS BROADCAST DAN JASA SMS PULL; CONNECTIVITY PRIMARY LINK</t>
  </si>
  <si>
    <t xml:space="preserve">Sejauh ini untuk Vendor jaris tidak ada kendala, responsif.</t>
  </si>
  <si>
    <t xml:space="preserve">So far Jatis has provided good service</t>
  </si>
  <si>
    <t xml:space="preserve">Secara keseluran service yang diberikan oleh JATIS baik</t>
  </si>
  <si>
    <t xml:space="preserve">Meet Expectation</t>
  </si>
  <si>
    <t xml:space="preserve">0x</t>
  </si>
  <si>
    <t xml:space="preserve">-</t>
  </si>
  <si>
    <t xml:space="preserve">STILL MEET REQUIREMENT </t>
  </si>
  <si>
    <t xml:space="preserve">MEET EXPECTATION</t>
  </si>
  <si>
    <t xml:space="preserve">MITRA INTEGRASI INFORMATIKA</t>
  </si>
  <si>
    <t xml:space="preserve">SFDC MAINTENANCE</t>
  </si>
  <si>
    <t xml:space="preserve">The response from the MII Team to all the issues and needs we encountered has been quite good. They were able to promptly provide workarounds and broad solutions. The PIC assigned to the project was very communicative and responsible. Please maintain this level of performance, as we truly rely on it.</t>
  </si>
  <si>
    <t xml:space="preserve">Good for MII, keep it up.</t>
  </si>
  <si>
    <t xml:space="preserve">Exceed Expectation</t>
  </si>
  <si>
    <t xml:space="preserve">OVERALL, THE SUPPORT FROM MII IS VERY GOOD AND VERY HELPFUL, BOTH IN TERMS OF COMMUNICATION AND TECHNICAL ASPECTS, IT IS VERY EASY TO UNDERSTAND.</t>
  </si>
  <si>
    <t xml:space="preserve">EXCEED EXPECTATION</t>
  </si>
  <si>
    <t xml:space="preserve">MULTIFILING MITRA INDONESIA</t>
  </si>
  <si>
    <t xml:space="preserve">RECORD MANAGEMENT SERVICE</t>
  </si>
  <si>
    <t xml:space="preserve">overall OK</t>
  </si>
  <si>
    <t xml:space="preserve">Untuk project destroy harga jangan mahal mahal</t>
  </si>
  <si>
    <t xml:space="preserve">INOVASI FROM MMI FOR SIMPLIFY PROCESS STORAGE </t>
  </si>
  <si>
    <t xml:space="preserve">CIPTADRA SOFTINDO</t>
  </si>
  <si>
    <t xml:space="preserve">PEMELIHARAAN PERANGKAT LUNAK AXITS  DAN PERANGKAT LUNAK DMTM</t>
  </si>
  <si>
    <t xml:space="preserve">Ciptadra saat ini sudah sangat membantu IT AMFS apabila ada Issue atau Problem yang terjadi di DMTM dengan cepat. </t>
  </si>
  <si>
    <t xml:space="preserve">Ciptadra sudah bekerja dengan baik apabila ada Issue terjadi, sangat fast Response. 
</t>
  </si>
  <si>
    <t xml:space="preserve">INMOTION INOVASI TEKNOLOGI</t>
  </si>
  <si>
    <t xml:space="preserve">JASA APLIKASI CHATBOT DAN LIVE CHAT</t>
  </si>
  <si>
    <t xml:space="preserve">More responsive in solving problems and always providing information on the latest features to support future customer service.</t>
  </si>
  <si>
    <t xml:space="preserve">Maintain the consistency and communication that has been established. Always take the initiative to provide the latest information regarding developments in the Live Chat service.</t>
  </si>
  <si>
    <t xml:space="preserve">Tetap selalu berikan Service yang Terbaik</t>
  </si>
  <si>
    <t xml:space="preserve">Sudah dilakukan pemanggilan terhadap vendor yang bersangkutan dan pada Q3 terjadi perbaikan performance</t>
  </si>
  <si>
    <t xml:space="preserve">SATRIA ANTARAN PRIMA TBK</t>
  </si>
  <si>
    <t xml:space="preserve">PENGIRIMAN POLIS DOKUMEN DAN PAKET DALAM NEGERI</t>
  </si>
  <si>
    <t xml:space="preserve">User 1: ada progress positif dari SAP untuk memperbaiki apa yang kurang di periode sebelumnya.
User 2: late respon terhadap keluhan pickup pengiriman dan validasi pengiriman dari PIC Unie. Draft invoice yang dikirimkan blm tertata dengan baik atau sesuai dengan kesamaan data dari User.</t>
  </si>
  <si>
    <t xml:space="preserve">- SAP should be improve the quality of its couriers regarding accuracy of delivery status.
- komunikasi dgn Unie sangat sulit, slow respons, invoice yg dikirimkan juga tidak ada respon dan updatenya ketika sudah di reminder. pickup dokumen secara manual (tidak menggunakan sistem) masih berjalan dan diterima oleh SAP.</t>
  </si>
  <si>
    <t xml:space="preserve">User 1: invoice periode maret-juni 2025 tdk ada update. update status informasi pengiriman tidak valid (fake shipment), kendala akun tidak dapat melakukan input, pickup manual masih terus berjalan (no commit). dah laah caapee
User 2: sudah ada kemajuan mengenai respon terhadap complain handling oleh SAP</t>
  </si>
  <si>
    <t xml:space="preserve">5X</t>
  </si>
  <si>
    <t xml:space="preserve">Pada periode Q2, Business User memberikan konfirmasi bahwa SAP diberi penilaian positif atas adanya perubahan dari proses pickup dokumen dan pengiriman invoice sebagai tanggapan kepada procurement ketika procurement memberikan masukan untuk melakukan penggantian vendor.
Pada periode Q3, User kembali memberikan nilai below expectation dan akan dilakukan pemanggilan kepada vendor terkait. Paralel dengan proses tersebut, procurement melakukan arrangement untuk pemilihan vendor alternatif atas kebutuhan courier services.</t>
  </si>
  <si>
    <t xml:space="preserve">VEMDOR SAP ADA PENINGKATAN TERUTAMA DI KOMUNIKASI PIC NYA </t>
  </si>
  <si>
    <t xml:space="preserve">MAILING ROOM</t>
  </si>
  <si>
    <t xml:space="preserve">N/A</t>
  </si>
  <si>
    <t xml:space="preserve">tingkatkan lebih performancenya</t>
  </si>
  <si>
    <t xml:space="preserve">NEED INOVATION FROM SAP FOR SIMPLIFY PROCESS AT AXA MANDIRI MAILING ROOM</t>
  </si>
  <si>
    <t xml:space="preserve">TARGET SUKSES SINERGI</t>
  </si>
  <si>
    <t xml:space="preserve">PENGIRIMAN EMAIL MARKETING AUTOMATION</t>
  </si>
  <si>
    <t xml:space="preserve">Overall our partnership going well</t>
  </si>
  <si>
    <t xml:space="preserve">Please keep up the good work!</t>
  </si>
  <si>
    <t xml:space="preserve">Overall Good</t>
  </si>
  <si>
    <t xml:space="preserve">GOOD</t>
  </si>
  <si>
    <t xml:space="preserve">WIZ TECHNOLOGY INDONESIA</t>
  </si>
  <si>
    <t xml:space="preserve">VOICE BOT REMINDER CALL</t>
  </si>
  <si>
    <t xml:space="preserve">so far wiz.AI sudah memenuhi apa yang menjadi kebutuhan kami</t>
  </si>
  <si>
    <t xml:space="preserve">needs better communication for quicker responses.</t>
  </si>
  <si>
    <t xml:space="preserve">sudah baik</t>
  </si>
  <si>
    <t xml:space="preserve">WE EXPECT INITIATIVE TO BE TAKEN IN IMPLEMENTING MITIGATION MEASURES AND IN ACCELERATING THE PROCESS WITHIN COLLABORATION WITH WIZ AI.</t>
  </si>
  <si>
    <t xml:space="preserve">KARYAPUTRA SURYAGEMILANG</t>
  </si>
  <si>
    <t xml:space="preserve">TELEMARKETING REVAMP PROJECT</t>
  </si>
  <si>
    <t xml:space="preserve">Need to speed up the investigation and fixing process when issues arise.</t>
  </si>
  <si>
    <t xml:space="preserve">As we have many projects involved KPSG in AMFS, please do maintain the dedicated team for TM Revamp. Currently activities in other projects may impact in TM Revamp project, i.e. PureCloud Decommissioned impact in TM Revamp activities (huddle meeting) and deliverables (CRs). We believe each project has different urgency and separate budget which need to be considered not impacted each other.</t>
  </si>
  <si>
    <t xml:space="preserve">We concenrn about human resource, somehow we need extra effort time to make Change Request, Assesment Scope and issue. It takes long time to asses new Change Request because availibility human resources.</t>
  </si>
  <si>
    <t xml:space="preserve">2x</t>
  </si>
  <si>
    <t xml:space="preserve">Pada periode Q2 mendapatkan hasil below expectation dan procurement sudah lakukan pemanggilan untuk menyampaikan evaluasi performance tersebut bersama sama dengan business user. Pada periode Q3, business user menyampaikan concern kembali dengan hasil below expectation, dan akan dilakukan pemanggilan kembali kepada KPSG.</t>
  </si>
  <si>
    <t xml:space="preserve">PLEASE BE MORE PERFORMED BECAUSE OUR NEEDS IS SO FAST FOR STRATEGIC DELIVERY</t>
  </si>
  <si>
    <t xml:space="preserve">ARAH SEJAHTERA ABADI</t>
  </si>
  <si>
    <t xml:space="preserve">PERJANJIAN SEWA MENYEWA</t>
  </si>
  <si>
    <t xml:space="preserve">Improve Resolution repair, for this year resolution fro problem dusty and project smell CCC impact project from another tenant behind CCC GF ( NOV 2024 until now still not yet solution )</t>
  </si>
  <si>
    <t xml:space="preserve">for improvment is Improve resolusi repair/corective device Building in tenant area</t>
  </si>
  <si>
    <t xml:space="preserve">adanya SLA atau KPI utuk review kuncit</t>
  </si>
  <si>
    <t xml:space="preserve">3x</t>
  </si>
  <si>
    <t xml:space="preserve">Pada periode Q1, Q2, dan Q3, hasil penilaian evaluasinya cenderung turun karena dari pihak Kuningan City tidak bersedia dianggap sebagai vendor / supplier, yang bisa diberlakukan penilaian performance atas layanan yang diberikan. Dari sisi operasional, memberikan nilai below expectation karena pihak Kuncit dirasa kurang responsif dalam menanggapi keluhan.</t>
  </si>
  <si>
    <t xml:space="preserve">KUNCIT SUPPORT FOR SPACE  AMFS (GIVE MORE ADVANTAGE FREE CHARGE FOR 12), FOR THE REPAIR /SOLUTION NEED MORE IMPROVE TIME OR QUALITY</t>
  </si>
  <si>
    <t xml:space="preserve">DELOITTE CONSULTING</t>
  </si>
  <si>
    <t xml:space="preserve">DATA PRIVACY TOOLS &amp; PELATIHAN PERSONAL DATA PROTECTION (PDP)</t>
  </si>
  <si>
    <t xml:space="preserve">They need to deepen their product knowledge so that they can be right on target in providing solutions.</t>
  </si>
  <si>
    <t xml:space="preserve">Understand more about product feature knowledge so that vendors can explain accurately and convincingly when there is trouble or product limitations.</t>
  </si>
  <si>
    <t xml:space="preserve">More coordination with PIC Principal Product (Securiti.ai) to get information regarding product updates earlier.</t>
  </si>
  <si>
    <t xml:space="preserve">MORE COORDINATION WITH PIC PRINCIPAL PRODUCT (SECURITI.AI) TO GET INFORMATION REGARDING PRODUCT UPDATES EARLIER.</t>
  </si>
  <si>
    <t xml:space="preserve">SUTRA MANAGEMENT CONSULTANCIES</t>
  </si>
  <si>
    <t xml:space="preserve">IMPLEMENTASI SAS IFRS17</t>
  </si>
  <si>
    <t xml:space="preserve">Sometimes the vendor must think out-of-the box meaning that they need to be "somehow creative enough" in expediting the problem-solution approaches to any issues being raised by us as customers in the fields of both IT and Finance/Actuary. They seems to play "by the book" instead of proposing the new ideas and thoughts flexibel enough to be implemented as long as not crossing the compliance issues. Those kind ideas that can help us to have more effective and productive outcomes in the very challenging timeline.</t>
  </si>
  <si>
    <t xml:space="preserve">In overall is above the "Good Criteria" except when starting to develop the infrastructure in the beginning because the development team of this vendor is not in Jakarta but instead in India that added extra challenges for us to communicate (in English) and coordinate (long distance)</t>
  </si>
  <si>
    <t xml:space="preserve">I think we need to be fair that the PSAK117 Methodology is the new thing that even for the vendor to execute in the CSM Engine needs to know some critical particular requirements that business users expect for CSM to deliver. Therefore, CSM Engine needs to be customized, and this takes time from the vendor to adjust/modify. My suggestion for the vendor is to always provide a stand-by expertise in the field of IFRS17 Methodoly, and he/she is able to explain clearly to users how these things work in the CSM System, and how users should provide required items in our existing data input system. Mutual understanding is the key; system modification is easy to implement; and expertise people from the vendor are always stand by</t>
  </si>
  <si>
    <t xml:space="preserve">TMF INDONESIA</t>
  </si>
  <si>
    <t xml:space="preserve">PAYROLL</t>
  </si>
  <si>
    <t xml:space="preserve">BETTER COORDINATION THAN 2025, REPORTS ARE ALWAYS REVIEWED  BY RELATED MANAGER BEFORE SUBMIT TO AMFS PIC.</t>
  </si>
  <si>
    <t xml:space="preserve">REYCOM DOCUMENT SOLUTION</t>
  </si>
  <si>
    <t xml:space="preserve">PRINTING &amp; DMC</t>
  </si>
  <si>
    <t xml:space="preserve">FPT METRODATA INDONESIA</t>
  </si>
  <si>
    <t xml:space="preserve">PENETRATION TEST</t>
  </si>
  <si>
    <t xml:space="preserve">IPROTEKSI TELEMATIKA</t>
  </si>
  <si>
    <t xml:space="preserve">ITSEC ASIA</t>
  </si>
  <si>
    <t xml:space="preserve">Start time</t>
  </si>
  <si>
    <t xml:space="preserve">Completion time</t>
  </si>
  <si>
    <t xml:space="preserve">Email</t>
  </si>
  <si>
    <t xml:space="preserve">Name</t>
  </si>
  <si>
    <t xml:space="preserve">User Name</t>
  </si>
  <si>
    <t xml:space="preserve">Supplier and Service</t>
  </si>
  <si>
    <t xml:space="preserve">How would you rate Supplier's ability to understand and meet your needs?</t>
  </si>
  <si>
    <t xml:space="preserve">How would you rate the Quality of fulfillment of specifications required by Perfect Assistant?</t>
  </si>
  <si>
    <t xml:space="preserve">How would you rate the data model of source of leads on customer level, which contains Existing Customers, Potential Customers, and Hot Leads?</t>
  </si>
  <si>
    <t xml:space="preserve">How would you rate the Leads activity evidence and result details, such as Call, Appointment, Visit, and Closing result evidence?</t>
  </si>
  <si>
    <t xml:space="preserve">How would you rate the Sales Activity Management process, as tracked by the Sales Leader and sorted by time range?</t>
  </si>
  <si>
    <t xml:space="preserve">How would you rate the Notification to Sales Team which consist of:</t>
  </si>
  <si>
    <t xml:space="preserve">How would you rate the telephony features which enable to mask either/both Customers’ and Agents’ personal phone number for better customer service and better protection of Customers’ privacy?</t>
  </si>
  <si>
    <t xml:space="preserve">How would you rate the assignment features which enable leaders to re-assign the leads to other FA (e.g. FA resigned or move to other branch then the Leads will be assigned to existing FA)?</t>
  </si>
  <si>
    <t xml:space="preserve">How would you rate the System Availability, Redundancy, and Overload Protection?</t>
  </si>
  <si>
    <t xml:space="preserve">How would you rate the Security Access?</t>
  </si>
  <si>
    <t xml:space="preserve">How would you rate the Audit Trail?</t>
  </si>
  <si>
    <t xml:space="preserve">How would you rate the Overall Supplier's reports including Report of Leads activity record and tracking?</t>
  </si>
  <si>
    <t xml:space="preserve">How would you rate the Resources / Authorized Personel Commitment and Qualification?</t>
  </si>
  <si>
    <t xml:space="preserve">How would you rate supplier initiative to take mitigation/preventive action to prevent recurring problem?</t>
  </si>
  <si>
    <t xml:space="preserve">How would you rate supplier compliance with administrative processes, including completion of draft cooperation contract?</t>
  </si>
  <si>
    <t xml:space="preserve">How would you rate the Integration with Perfect Assistant?</t>
  </si>
  <si>
    <t xml:space="preserve">How would you rate the SIT dan UAT Phase?</t>
  </si>
  <si>
    <t xml:space="preserve">How would you rate the use of channels to avoid customer data leaks?</t>
  </si>
  <si>
    <t xml:space="preserve">How would you rate the Access to the recording dashboard?</t>
  </si>
  <si>
    <t xml:space="preserve">How would you rate the Security compare to its standard? </t>
  </si>
  <si>
    <t xml:space="preserve">How would you rate Supplier's ability to understand and meet your needs?1</t>
  </si>
  <si>
    <t xml:space="preserve">How would you rate the goods/services provided by the Supplier against the agreed standards?</t>
  </si>
  <si>
    <t xml:space="preserve">How would you rate the accuracy of the data in the Supplier's reports?</t>
  </si>
  <si>
    <t xml:space="preserve">How would you rate overall quality of the work reports provided by the Supplier?</t>
  </si>
  <si>
    <t xml:space="preserve">How would you rate the solutions provided when there is trouble?</t>
  </si>
  <si>
    <t xml:space="preserve">How would you rate the resolution to the problem that occurred?</t>
  </si>
  <si>
    <t xml:space="preserve">How would you rate the speed of resolution given to problems that occur?</t>
  </si>
  <si>
    <t xml:space="preserve">How would you rate the supplier initiative to take mitigation/preventive action to prevent the problem from recurring?</t>
  </si>
  <si>
    <t xml:space="preserve">How would you rate supplier compliance with administrative processes, including completion of draft cooperation contract?1</t>
  </si>
  <si>
    <t xml:space="preserve">How would you rate the Implementation of UAT?</t>
  </si>
  <si>
    <t xml:space="preserve">How would you rate the maintenance includes bug fixing and support for system problems that occur in the JATIS MOBILE application/service?</t>
  </si>
  <si>
    <t xml:space="preserve">How would you rate Supplier's ability to understand and meet your needs?2</t>
  </si>
  <si>
    <t xml:space="preserve">How would you rate the The goods/services provided by the Supplier against the agreed standards?</t>
  </si>
  <si>
    <t xml:space="preserve">How would you rate the General support and maintenance requirement?</t>
  </si>
  <si>
    <t xml:space="preserve">How would you rate the Performance Management Requirement which includes to support low latency, documentation, performance monitoring, and any major or minor updates?</t>
  </si>
  <si>
    <t xml:space="preserve">How would you rate the Security Management Requirement?</t>
  </si>
  <si>
    <t xml:space="preserve">How would you rate the Supporting Model which includes onsite support from dedicated engineers and its service level agreement (SLA)?</t>
  </si>
  <si>
    <t xml:space="preserve">How would you rate the accuracy of the data in the Supplier's reports?1</t>
  </si>
  <si>
    <t xml:space="preserve">How would you rate overall quality of the work reports provided by the Supplier?1</t>
  </si>
  <si>
    <t xml:space="preserve">How would you rate the solutions provided when there is trouble?1</t>
  </si>
  <si>
    <t xml:space="preserve">How would you rate the resolution to the problem that occurred?1</t>
  </si>
  <si>
    <t xml:space="preserve">How would you rate the speed of resolution given to problems that occur?1</t>
  </si>
  <si>
    <t xml:space="preserve">How would you rate the supplier initiative to take mitigation/preventive action to prevent the problem from recurring?1</t>
  </si>
  <si>
    <t xml:space="preserve">How would you rate supplier compliance with administrative processes, including completion of draft cooperation contract?2</t>
  </si>
  <si>
    <t xml:space="preserve">How would you rate The goods/services provided by the Supplier against the agreed standards</t>
  </si>
  <si>
    <t xml:space="preserve">How would you rate the supplier's services?</t>
  </si>
  <si>
    <t xml:space="preserve">How would you rate the supplier's service in providing a guarantee of administrative services for archive management, computer data collection for all AXA cartons, and ease of access for AXA to the ar</t>
  </si>
  <si>
    <t xml:space="preserve">How would you rate the supplier's service in providing the required number of empty cartons?</t>
  </si>
  <si>
    <t xml:space="preserve">How would you rate overall quality of the work reports provided by the Supplier?2</t>
  </si>
  <si>
    <t xml:space="preserve">How would you rate the completeness report containing the number of AXA cartons deposited in the supplier's warehouse, a list of cartons that are being borrowed (retrieval) and have not been returned </t>
  </si>
  <si>
    <t xml:space="preserve">How would you rate the solutions provided when there is trouble?2</t>
  </si>
  <si>
    <t xml:space="preserve">How would you rate the resolution to the problem that occurred?2</t>
  </si>
  <si>
    <t xml:space="preserve">How would you rate the speed of resolution given to problems that occur?2</t>
  </si>
  <si>
    <t xml:space="preserve">How would you rate the supplier initiative to take mitigation/preventive action to prevent the problem from recurring?2</t>
  </si>
  <si>
    <t xml:space="preserve">How would you rate supplier compliance with administrative processes, including completion of draft cooperation contract?3</t>
  </si>
  <si>
    <t xml:space="preserve">How would you rate the goods/services provided by the Supplier against the agreed standards1</t>
  </si>
  <si>
    <t xml:space="preserve">How would you rate overall quality of the work reports provided by the Supplier?3</t>
  </si>
  <si>
    <t xml:space="preserve">How would you rate the solutions provided when there is trouble?3</t>
  </si>
  <si>
    <t xml:space="preserve">How would you rate the resolution to the problem that occurred?3</t>
  </si>
  <si>
    <t xml:space="preserve">How would you rate the supplier initiative to take mitigation/preventive action to prevent the problem from recurring?3</t>
  </si>
  <si>
    <t xml:space="preserve">How would you rate the accuracy of the data in the Supplier's reports?2</t>
  </si>
  <si>
    <t xml:space="preserve">How would you rate the overall quality of the work reports provided by the Supplier?</t>
  </si>
  <si>
    <t xml:space="preserve">How would you rate the competence of people provided by the supplier to provide support (understand AXITS and/or DMTM software)?</t>
  </si>
  <si>
    <t xml:space="preserve">How would you rate the supplier support in providing the form of consultation, offsite and onsite support if there is a disruption to application operations?</t>
  </si>
  <si>
    <t xml:space="preserve">How would you rate the supplier support in doing periodic checks once every 3 months to maintain application quality, including application performance checks (profiling) and error log checks?</t>
  </si>
  <si>
    <t xml:space="preserve">How would you rate the supplier support for updating versions of components, frameworks and libraries issued by third parties with prior written approval from AXA if this is possible?</t>
  </si>
  <si>
    <t xml:space="preserve">How would you rate the suppliers support in compliance to security?</t>
  </si>
  <si>
    <t xml:space="preserve">How would you rate the supplier initiative to take mitigation/preventive action to prevent the problem from recurring?4</t>
  </si>
  <si>
    <t xml:space="preserve">How would you rate supplier compliance with administrative processes, including completion of draft cooperation contract?4</t>
  </si>
  <si>
    <t xml:space="preserve">How would you rate the goods/services provided by the Supplier against the agreed standards2</t>
  </si>
  <si>
    <t xml:space="preserve">How would you rate the Customer Interaction Requirement which includes:</t>
  </si>
  <si>
    <t xml:space="preserve">How would you rate the Case Management which includes:</t>
  </si>
  <si>
    <t xml:space="preserve">How would you rate the Integration process which includes:</t>
  </si>
  <si>
    <t xml:space="preserve">How would you rate the Architectural Requirement?</t>
  </si>
  <si>
    <t xml:space="preserve">How would you rate the Security Requirement?</t>
  </si>
  <si>
    <t xml:space="preserve">How would you rate the Backup and Restore, Capacity and Performance Requirements?</t>
  </si>
  <si>
    <t xml:space="preserve">How would you rate the Operational and Configuration Management?</t>
  </si>
  <si>
    <t xml:space="preserve">How would you rate the accuracy of the data in the Supplier's reports?3</t>
  </si>
  <si>
    <t xml:space="preserve">How would you rate overall quality of the work reports provided by the Supplier?4</t>
  </si>
  <si>
    <t xml:space="preserve">How would you rate the solutions provided when there is trouble?4</t>
  </si>
  <si>
    <t xml:space="preserve">How would you rate the resolution to the problem that occurred?4</t>
  </si>
  <si>
    <t xml:space="preserve">How would you rate the speed of resolution given to problems that occur?3</t>
  </si>
  <si>
    <t xml:space="preserve">How would you rate the supplier initiative to take mitigation/preventive action to prevent the problem from recurring?5</t>
  </si>
  <si>
    <t xml:space="preserve">How would you rate supplier compliance with administrative processes, including completion of draft cooperation contract?5</t>
  </si>
  <si>
    <t xml:space="preserve">How would you rate the accuracy of the data in the Supplier's reports?4</t>
  </si>
  <si>
    <t xml:space="preserve">How would you rate the overall quality of the work reports provided by the Supplier?1</t>
  </si>
  <si>
    <t xml:space="preserve">How would you rate the performing installation, setup and configuration of 3Dolphins?</t>
  </si>
  <si>
    <t xml:space="preserve">How would you rate the integration of 3Dolphins with SalesForce?</t>
  </si>
  <si>
    <t xml:space="preserve">How would you rate the Chatbot Corpus with data provided by AXA?</t>
  </si>
  <si>
    <t xml:space="preserve">How would you rate the supplier's services in providing 3Dolphins Solutions as stated in the Functional Specification Document (FSD) and Technical Specification Document (TSD)?</t>
  </si>
  <si>
    <t xml:space="preserve">How would you rate the supplier's services in conducting System Integration Test (SIT) with AXA IT testing team and IT Project Team?</t>
  </si>
  <si>
    <t xml:space="preserve">How would you rate the supplier's services in conducting User Acceptance Test (UAT) with AXA Business Team and Project IT Team?</t>
  </si>
  <si>
    <t xml:space="preserve">How would you rate the supplier's services in migrating to production server or Go Live and providing support after Go Live?</t>
  </si>
  <si>
    <t xml:space="preserve">How would you rate the supplier's services in providing the human resources needed in the project and timeline according to the agreed scope?</t>
  </si>
  <si>
    <t xml:space="preserve">How would you rate the supplier's services in assigning a Project Manager to coordinate with the AXA team?</t>
  </si>
  <si>
    <t xml:space="preserve">How would you rate the supplier's project documentation as follows:</t>
  </si>
  <si>
    <t xml:space="preserve">How would you rate the supplier support in providing the perform maintenance on all software related to 3Dolphins, which is installed in the AXA data center?</t>
  </si>
  <si>
    <t xml:space="preserve">How would you rate the supplier support in providing 3Dolphins application maintenance service time, namely 24 hours x 7 days a week, 365 days/year?</t>
  </si>
  <si>
    <t xml:space="preserve">How would you rate the supplier support in preparing at least 2 people who understand and are experts in chatbots owned by AXA and can also provide support for services that often occur (eg. New custo</t>
  </si>
  <si>
    <t xml:space="preserve">How would you rate the supplier support in providing support center that can be visited during AXA business hours to respond to any questions and issues that arise?</t>
  </si>
  <si>
    <t xml:space="preserve">How would you rate the supplier support in providing SLA reports to AXA?</t>
  </si>
  <si>
    <t xml:space="preserve">How would you rate the supplier support in providing testing and updates the Chatbot Solution if there is a new software version/release/patch according to the required conditions?</t>
  </si>
  <si>
    <t xml:space="preserve">How would you rate the supplier support in reinstall the 3Dolphins application a maximum of 1 time per year if AXA will upgrade the hardware?</t>
  </si>
  <si>
    <t xml:space="preserve">How would you rate the supplier support in providing a checklist to monitor daily activities?</t>
  </si>
  <si>
    <t xml:space="preserve">How would you rate the supplier support in providing a testing configuration and event logging?</t>
  </si>
  <si>
    <t xml:space="preserve">How would you rate the supplier support in providing a backup for short and long term?</t>
  </si>
  <si>
    <t xml:space="preserve">How would you rate the goods/services provided by the Supplier against the agreed standards3</t>
  </si>
  <si>
    <t xml:space="preserve">How would you rate the accuracy of the data in the Supplier's reports?5</t>
  </si>
  <si>
    <t xml:space="preserve">How would you rate overall quality of the work reports provided by the Supplier?5</t>
  </si>
  <si>
    <t xml:space="preserve">How would you rate the solutions provided when there is trouble?5</t>
  </si>
  <si>
    <t xml:space="preserve">How would you rate the resolution to the problem that occurred?5</t>
  </si>
  <si>
    <t xml:space="preserve">How would you rate the speed of resolution given to problems that occur</t>
  </si>
  <si>
    <t xml:space="preserve">How would you rate the supplier initiative to take mitigation/preventive action to prevent the problem from recurring?6</t>
  </si>
  <si>
    <t xml:space="preserve">How would you rate supplier compliance with administrative processes, including completion of draft cooperation contract?6</t>
  </si>
  <si>
    <t xml:space="preserve">How would you rate the shipping target achievement?</t>
  </si>
  <si>
    <t xml:space="preserve">How would you rate the delivery times? Based on SLA, the delivery time are Monday to Saturday, service levels will remain the same from Monday to Friday.</t>
  </si>
  <si>
    <t xml:space="preserve">How would you rate the Receipt retention period?</t>
  </si>
  <si>
    <t xml:space="preserve">How would you rate the Airway Bill Storage:</t>
  </si>
  <si>
    <t xml:space="preserve">How would you rate the Handling of Policies/Documents and/or delivery process?</t>
  </si>
  <si>
    <t xml:space="preserve">How would you rate the response to complaints/investigations of the delivery process?</t>
  </si>
  <si>
    <t xml:space="preserve">How would you rate the response taken when a delivery failure occurs?</t>
  </si>
  <si>
    <t xml:space="preserve">How would you rate the goods/services provided by the Supplier against the agreed standards?1</t>
  </si>
  <si>
    <t xml:space="preserve">How would you rate the accuracy of the data in the Supplier's reports?6</t>
  </si>
  <si>
    <t xml:space="preserve">How would you rate overall quality of the work reports provided by the Supplier?6</t>
  </si>
  <si>
    <t xml:space="preserve">How would you rate the solutions provided when there is trouble?6</t>
  </si>
  <si>
    <t xml:space="preserve">How would you rate the resolution to the problem that occurred?6</t>
  </si>
  <si>
    <t xml:space="preserve">How would you rate the supplier initiative to take mitigation/preventive action to prevent the problem from recurring?7</t>
  </si>
  <si>
    <t xml:space="preserve">How would you rate the service provided?</t>
  </si>
  <si>
    <t xml:space="preserve">How would you rate the Complaint Handling?</t>
  </si>
  <si>
    <t xml:space="preserve">How would you rate the service provided?1</t>
  </si>
  <si>
    <t xml:space="preserve">How would you rate the accuracy of the data in the Supplier's reports?7</t>
  </si>
  <si>
    <t xml:space="preserve">How would you rate overall quality of the work reports provided by the Supplier?7</t>
  </si>
  <si>
    <t xml:space="preserve">How would you rate the solutions provided when there is trouble?7</t>
  </si>
  <si>
    <t xml:space="preserve">How would you rate the resolution to the problem that occurred?7</t>
  </si>
  <si>
    <t xml:space="preserve">How would you rate the supplier initiative to take mitigation/preventive action to prevent the problem from recurring?8</t>
  </si>
  <si>
    <t xml:space="preserve">How would you rate supplier compliance with administrative processes, including completion of draft cooperation contract?7</t>
  </si>
  <si>
    <t xml:space="preserve">How would you rate the goods/services provided by the Supplier against the agreed standards?2</t>
  </si>
  <si>
    <t xml:space="preserve">How would you rate overall quality of the work reports provided by the Supplier?8</t>
  </si>
  <si>
    <t xml:space="preserve">How would you rate the solutions provided when there is trouble?8</t>
  </si>
  <si>
    <t xml:space="preserve">How would you rate the speed of resolution given to problems that occur?4</t>
  </si>
  <si>
    <t xml:space="preserve">How would you rate the Vendor initiative to take mitigation/preventive action to prevent the problem from recurring?</t>
  </si>
  <si>
    <t xml:space="preserve">How would you rate supplier compliance with administrative processes, including completion of draft cooperation contract?</t>
  </si>
  <si>
    <t xml:space="preserve">How   would you rate supplier ability to provide manpower according to the required position and job description before   the project starts?</t>
  </si>
  <si>
    <t xml:space="preserve">How would you rate the Supplier’s Timelines in replacing manpower?
</t>
  </si>
  <si>
    <t xml:space="preserve">How would you rate the Supplier’s ability to conduct training for TSO?
</t>
  </si>
  <si>
    <t xml:space="preserve">How would you rate the Supplier’s ability to conduct training for Leader?
</t>
  </si>
  <si>
    <t xml:space="preserve">How would you rate the Supplier’s ability to conduct training for Manager?
</t>
  </si>
  <si>
    <t xml:space="preserve">How would you rate the Supplier’s ability to ensure employees achieve an A rating on the KPI Dashboard for 3 consecutive months to qualify for promotion?
</t>
  </si>
  <si>
    <t xml:space="preserve">How would you rate the Supplier’s ability to enforce demotion for employees who receive a D rating for 3 consecutive months?
</t>
  </si>
  <si>
    <t xml:space="preserve">How would you rate the Supplier’s ability to provide accurate and complete data management as per agreed requirements which is providing leads, mapping, until distribute to TSO?
</t>
  </si>
  <si>
    <t xml:space="preserve">How would you rate the Supplier’s ability to ensure connectivity between the telemarketing system and our back end (DMTM) system?
</t>
  </si>
  <si>
    <t xml:space="preserve">How would you rate the Supplier’s ability to recommend suitable premise locations and provide photos as required?
</t>
  </si>
  <si>
    <t xml:space="preserve">How would you rate the Supplier’s ability to develop and execute Sales Activity &amp; Monitoring which include:
</t>
  </si>
  <si>
    <t xml:space="preserve">How would you rate the Technical services that is used to penetrate the application which includes:
1. Technical Specification Design.
2. Hardware and capacity sizing for concurrent requests
3. Functi</t>
  </si>
  <si>
    <t xml:space="preserve">How would you rate the after sales support capability and methodology?</t>
  </si>
  <si>
    <t xml:space="preserve">How would you rate the availability of documentation for service (user manual, troubleshoot document, setup document, etc)?</t>
  </si>
  <si>
    <t xml:space="preserve">How would you rate the Technical services that is used to penetrate the application which includes:
1. Technical Specification Design.
2. Hardware and capacity sizing for concurrent requests
3. Functi1</t>
  </si>
  <si>
    <t xml:space="preserve">How would you rate the after sales support capability and methodology?1</t>
  </si>
  <si>
    <t xml:space="preserve">How would you rate the availability of documentation for product (user manual, troubleshoot document, setup document, etc)?</t>
  </si>
  <si>
    <t xml:space="preserve">How would you rate the Technical services that is used to penetrate the application which includes:
1. Technical Specification Design.
2. Hardware and capacity sizing for concurrent requests
3. Functi2</t>
  </si>
  <si>
    <t xml:space="preserve">How would you rate the after sales support capability and methodology?2</t>
  </si>
  <si>
    <t xml:space="preserve">How would you rate the availability of documentation for product (user manual, troubleshoot document, setup document, etc)?1</t>
  </si>
  <si>
    <t xml:space="preserve">How would you rate the Supplier’s ability to implement the backup plan within 3 hours after system downtime occurs?
</t>
  </si>
  <si>
    <t xml:space="preserve">How would you rate the supplier's timeliness in delivering goods/services compared to the agreed-upon timeline?</t>
  </si>
  <si>
    <t xml:space="preserve">How would you rate the supplier's timeliness in sending reports to you?</t>
  </si>
  <si>
    <t xml:space="preserve">How would you rate the supplier's speed ​​of administrative completion, including completion of contracts draft?</t>
  </si>
  <si>
    <t xml:space="preserve">How would you rate the supplier's timeliness in delivering goods/services compared to the agreed-upon timeline?1</t>
  </si>
  <si>
    <t xml:space="preserve">How would you rate the supplier's timeliness in sending reports to you?
</t>
  </si>
  <si>
    <t xml:space="preserve">How would you rate the supplier's Traffic Confirmation SLA Fulfillment?
</t>
  </si>
  <si>
    <t xml:space="preserve">How would you rate the supplier's speed ​​of administrative completion, including completion of contracts draft?
</t>
  </si>
  <si>
    <t xml:space="preserve">How would you rate the supplier's timeliness in delivering goods/services compared to the agreed-upon timeline?2</t>
  </si>
  <si>
    <t xml:space="preserve">How would you rate the supplier's timeliness in sending reports to you? Based on SLA, suppliers must provide reports on the 10th of each month.
</t>
  </si>
  <si>
    <t xml:space="preserve">How would you rate the supplier's speed ​​of administrative completion, including completion of contracts draft?
1</t>
  </si>
  <si>
    <t xml:space="preserve">How would you rate the supplier's SLA Fulfillment?
</t>
  </si>
  <si>
    <t xml:space="preserve">How would you rate the Supplier's timeliness in delivering goods/services compared to the agreed-upon timeline?3</t>
  </si>
  <si>
    <t xml:space="preserve">How would you reat timeliness of the work reports submitted by the Supplier to you?</t>
  </si>
  <si>
    <t xml:space="preserve">How would you rate the supplier's timeliness in sending reports to you? Based on SLA, support reports should be sent every 3 months on the 10th</t>
  </si>
  <si>
    <t xml:space="preserve">How would you rate the supplier's speed ​​of administrative completion, including completion of contracts draft?1</t>
  </si>
  <si>
    <t xml:space="preserve">How would you rate the supplier's response time? </t>
  </si>
  <si>
    <t xml:space="preserve">How would you rate the supplier's resolution time?</t>
  </si>
  <si>
    <t xml:space="preserve">How would you rate the supplier's timeliness in delivering goods/services compared to the agreed-upon timeline?4</t>
  </si>
  <si>
    <t xml:space="preserve">How would you rate the supplier's timeliness in sending reports to you?1</t>
  </si>
  <si>
    <t xml:space="preserve">How would you rate the supplier's speed ​​of administrative completion, including completion of contracts draft?2</t>
  </si>
  <si>
    <t xml:space="preserve">How would you rate the supplier's communication with you?</t>
  </si>
  <si>
    <t xml:space="preserve">How would you rate the supplier's PIC's availability to be contacted when needed?</t>
  </si>
  <si>
    <t xml:space="preserve">How would you rate the supplier's response speed to you when there are issues?
</t>
  </si>
  <si>
    <t xml:space="preserve">Has the vendor completed the latest Financial Assessment?</t>
  </si>
  <si>
    <t xml:space="preserve">Has the vendor’s Reputational Assessment been performed?</t>
  </si>
  <si>
    <t xml:space="preserve">Does the services require the fulfillment of Data Privacy Impact Assessment (DPIA)?</t>
  </si>
  <si>
    <t xml:space="preserve">Does the services require the fulfillment of Data Privacy Service Provider Questionnaire assessment (DPSQ)?</t>
  </si>
  <si>
    <t xml:space="preserve">Does the services require the fulfillment of Vendor Security Due Diligence Tooling (VSDDT)?</t>
  </si>
  <si>
    <t xml:space="preserve">Has the Vendor Security Due Diligence Tooling (VSDDT) been completed and approved?</t>
  </si>
  <si>
    <t xml:space="preserve">Based on the the results (financial, reputational, DPIA, VSDDT, DPSQ), do you have an action plan in place? If yes, has it been completed, and have you coordinated with the relevant SMEs?</t>
  </si>
  <si>
    <t xml:space="preserve">Have all required actions been completed by your team?</t>
  </si>
  <si>
    <t xml:space="preserve">Please provide feedback or suggestion for the supplier, including areas for improvement</t>
  </si>
  <si>
    <t xml:space="preserve">Fauzi ARYANTO</t>
  </si>
  <si>
    <t xml:space="preserve">Fauzi Aryanto</t>
  </si>
  <si>
    <t xml:space="preserve">Yes</t>
  </si>
  <si>
    <t xml:space="preserve">Not required – DPIA is not applicable for this service</t>
  </si>
  <si>
    <t xml:space="preserve">Not required – DPSQ is not applicable for this service</t>
  </si>
  <si>
    <t xml:space="preserve">Required – VSDDT completed and approved</t>
  </si>
  <si>
    <t xml:space="preserve">Yes – All action items have been completed and coordinated with relevant SME</t>
  </si>
  <si>
    <t xml:space="preserve">Currently no need improvement</t>
  </si>
  <si>
    <t xml:space="preserve">no need improvement</t>
  </si>
  <si>
    <t xml:space="preserve">No need improvement</t>
  </si>
  <si>
    <t xml:space="preserve">Ibnu KUMALA</t>
  </si>
  <si>
    <t xml:space="preserve">ibnu kumala</t>
  </si>
  <si>
    <t xml:space="preserve">Required – DPIA completed and approved</t>
  </si>
  <si>
    <t xml:space="preserve">Over all mailing ok, please improve coordinated with Headoffice team for reduce complain/misscomm (ex case overseas shipment )</t>
  </si>
  <si>
    <t xml:space="preserve">Fifin SARINURLITA</t>
  </si>
  <si>
    <t xml:space="preserve">fifin sarinurlita</t>
  </si>
  <si>
    <t xml:space="preserve">Required – DPSQ completed and approved</t>
  </si>
  <si>
    <t xml:space="preserve">No – No action items were required</t>
  </si>
  <si>
    <t xml:space="preserve">Jatis has provided good service throughout this year</t>
  </si>
  <si>
    <t xml:space="preserve">Yes – Action items identified, but follow‑up and coordination with relevant SME is still required</t>
  </si>
  <si>
    <t xml:space="preserve">SAP has provided excellent service throughout this year</t>
  </si>
  <si>
    <t xml:space="preserve">impprove innovation dan simplyfy process</t>
  </si>
  <si>
    <t xml:space="preserve">Nuril HUDHA</t>
  </si>
  <si>
    <t xml:space="preserve">Nuril Hudha</t>
  </si>
  <si>
    <t xml:space="preserve">The performance is getting better, please keep improve the performance.</t>
  </si>
  <si>
    <t xml:space="preserve">Raninta MAHARDI</t>
  </si>
  <si>
    <t xml:space="preserve">Raninta Mahardi</t>
  </si>
  <si>
    <t xml:space="preserve">Performance is Good</t>
  </si>
  <si>
    <t xml:space="preserve">Bella Friska DEPARI</t>
  </si>
  <si>
    <t xml:space="preserve">Bella Friska Depari</t>
  </si>
  <si>
    <t xml:space="preserve">Harganya buat next contrac please murahin ya</t>
  </si>
  <si>
    <t xml:space="preserve">Djoko DJOKO</t>
  </si>
  <si>
    <t xml:space="preserve">DJOKO</t>
  </si>
  <si>
    <t xml:space="preserve">Required – DPSQ not yet completed or approved</t>
  </si>
  <si>
    <t xml:space="preserve">continue performing thorough and frequent periodic checks to ensure that during service hours, there are no issues that could disrupt operations and resolve the remaining unresolved 401 issue
Berikan umpan balik Anda tentang BizChat</t>
  </si>
  <si>
    <t xml:space="preserve">Chandra Nugraha PUTRA</t>
  </si>
  <si>
    <t xml:space="preserve">Chandra Nugraha Putra</t>
  </si>
  <si>
    <t xml:space="preserve">Required – VSDDT not yet completed or approved</t>
  </si>
  <si>
    <t xml:space="preserve">verall, the level of support has been satisfactory. The improvements carried out were highly effective, and several demands were consistent with the initial assessment and expectations.</t>
  </si>
  <si>
    <t xml:space="preserve">How would you rate the services provided by the supplier?</t>
  </si>
  <si>
    <t xml:space="preserve">How would you rate overall quality of the work reports provided by the Supplier</t>
  </si>
  <si>
    <t xml:space="preserve">How would you rate the solutions provided by the supplier when there is trouble?</t>
  </si>
  <si>
    <t xml:space="preserve">How would you rate the goods/services provided by the Supplier against the agreed standards</t>
  </si>
  <si>
    <t xml:space="preserve">How would you rate the accuracy of the data in the Supplier's reports?</t>
  </si>
  <si>
    <t xml:space="preserve">How would you rate the supplier implementation on a Project Management Approach, which includes: </t>
  </si>
  <si>
    <t xml:space="preserve">How would you rate the supplier support in providing 1 (one) Technical Support personnel who is specifically assigned? Based on SLA, this technical support will be assigned at Menara Global and Graha </t>
  </si>
  <si>
    <t xml:space="preserve">How would you rate the supplier support in providing technical support personnel who will perform several activities such as:</t>
  </si>
  <si>
    <t xml:space="preserve">How would you rate the supplier support in maintaining 99% SLA for System Availability in providing the Services to AMFS (SLA calculation does not include service downtime triggered by deliverables no</t>
  </si>
  <si>
    <t xml:space="preserve">How would you rate the supplier support in providing Annual Support such as:</t>
  </si>
  <si>
    <t xml:space="preserve">How would you rate services provided by the Supplier against the agreed standards</t>
  </si>
  <si>
    <t xml:space="preserve">How would you rate the services provided by the Supplier which should include:</t>
  </si>
  <si>
    <t xml:space="preserve">How would you rate the supplier's accuracy of the data in the Supplier's reports?</t>
  </si>
  <si>
    <t xml:space="preserve">How would you rate the vendor initiative to take mitigation/preventive action to prevent the problem from recurring?1</t>
  </si>
  <si>
    <t xml:space="preserve">How would you rate the supplier services in carrying out maintenance including repairs to the Common Areas and all other areas of the office not mentioned in the Lease, including electrical systems, a</t>
  </si>
  <si>
    <t xml:space="preserve">How would you rate the supplier services in make repairs to:</t>
  </si>
  <si>
    <t xml:space="preserve">How would you rate the services provided by the Supplier against the agreed standards</t>
  </si>
  <si>
    <t xml:space="preserve">How would you rate the vendor initiative to take mitigation/preventive action to prevent the problem from recurring?2</t>
  </si>
  <si>
    <t xml:space="preserve">How would you rate the supplier's service in providing training materials in accordance with:</t>
  </si>
  <si>
    <t xml:space="preserve">How would you rate the supplier's service in creating a discussion session that covers current conditions, understanding objectives, and discussions using specific cases from the training material wit</t>
  </si>
  <si>
    <t xml:space="preserve">How would you rate the supplier's service in conducting 1 (one) session of Data Privacy and Protection awareness training sessions for AXA and its related business units, along with a post-test.</t>
  </si>
  <si>
    <t xml:space="preserve">How would you rate the supplier's response time for service issues?</t>
  </si>
  <si>
    <t xml:space="preserve">How would you rate the supplier's project management &amp; management report?</t>
  </si>
  <si>
    <t xml:space="preserve">How would you rate the Vendor initiative to take mitigation/preventive action to prevent the problem from recurring?3</t>
  </si>
  <si>
    <t xml:space="preserve">How would you rate the Installation of SAS IFRS17 solution on AXA infrastructure?</t>
  </si>
  <si>
    <t xml:space="preserve">How would you rate the workshops and finalize functional specification documents that summarize requirements which conducted by the supplier?</t>
  </si>
  <si>
    <t xml:space="preserve">How would you rate the implementation of an end-to-end solution flow design for SAS IFRS17?</t>
  </si>
  <si>
    <t xml:space="preserve">How would you rate the Implementation of SAS IFRS17solution?</t>
  </si>
  <si>
    <t xml:space="preserve">How would you rate the End-to-End Calculation Functions which includes:</t>
  </si>
  <si>
    <t xml:space="preserve">How would you rate the PSAK74 Contract Grouping using Data Input and Predefine Rule which generates:</t>
  </si>
  <si>
    <t xml:space="preserve">How would you rate PSAK74 System implementation on its standard and configurable rule which includes:</t>
  </si>
  <si>
    <t xml:space="preserve">How would you rate the currencies and interest rate facilitation?</t>
  </si>
  <si>
    <t xml:space="preserve">How would you rate the capability to estimate the Initial Recognition?</t>
  </si>
  <si>
    <t xml:space="preserve">How would you rate the capability to estimate GMM/PAA/VFA Approach both direct and reinsurance:</t>
  </si>
  <si>
    <t xml:space="preserve">How would you rate the capability to do the Allocation on Actual Cash Flow (CF):</t>
  </si>
  <si>
    <t xml:space="preserve">How would you rate the capability to generate PSAK74 Disclosure in monthly base:</t>
  </si>
  <si>
    <t xml:space="preserve">How would you rate the Common Security Access?</t>
  </si>
  <si>
    <t xml:space="preserve">How would you rate the supplier's service in providing one month warranty support after go-live?</t>
  </si>
  <si>
    <t xml:space="preserve">How would you rate the supplier's services in conducting three-day user training for SAS IFRS17 solution and conducted one-day system administration training for users?</t>
  </si>
  <si>
    <t xml:space="preserve">How would you rate the services provided by the Supplier against the agreed standards1</t>
  </si>
  <si>
    <t xml:space="preserve">How would you rate the Vendor initiative to take mitigation/preventive action to prevent the problem from recurring?4</t>
  </si>
  <si>
    <t xml:space="preserve">How would you rate the implementation and integration with surrounding systems?</t>
  </si>
  <si>
    <t xml:space="preserve">How would you rate the supplier provides testing before the project is carried out?</t>
  </si>
  <si>
    <t xml:space="preserve">How would you rate the technical Documentation includes Specifications and Design, Testing, Operational Documents, Administration, and Maintenance Guide, Installation from scratch, and Tuning Guide?</t>
  </si>
  <si>
    <t xml:space="preserve">How would you rate the Supplier’s ability to deliver monthly Payroll Services?</t>
  </si>
  <si>
    <t xml:space="preserve">How would you rate the Supplier’s ability to deliver Cash Management Services, including the following aspects:</t>
  </si>
  <si>
    <t xml:space="preserve">How would you rate the Supplier’s ability to deliver Compliance Services, including the following aspects:</t>
  </si>
  <si>
    <t xml:space="preserve">How would you rate the Supplier’s ability to deliver BPJS Kesehatan Services?</t>
  </si>
  <si>
    <t xml:space="preserve">How would you rate the Supplier’s ability to comply with penalty provisions for payroll processing?</t>
  </si>
  <si>
    <t xml:space="preserve">How would you rate the Supplier’s ability to execute the Special Project for BPJS Kesehatan?</t>
  </si>
  <si>
    <t xml:space="preserve">How   would you rate the Supplier’s ability to deliver Policy Printing Services SLA?</t>
  </si>
  <si>
    <t xml:space="preserve">How would you rate the Supplier’s ability to deliver Letter Printing Services?</t>
  </si>
  <si>
    <t xml:space="preserve">How would you rate the Supplier’s ability to deliver Training Material Document Printing?</t>
  </si>
  <si>
    <t xml:space="preserve">How would you rate the Supplier’s ability to deliver DMC Service which includes:</t>
  </si>
  <si>
    <t xml:space="preserve">How would you rate the Supplier’s ability to deliver DMC POS/Claim data and reporting, including the following aspects:</t>
  </si>
  <si>
    <t xml:space="preserve">How would you rate the Supplier ability to do Data maintenance, data security, and access control?</t>
  </si>
  <si>
    <t xml:space="preserve">How would you rate the Supplier’s ability to meet payroll disbursement timelines?</t>
  </si>
  <si>
    <t xml:space="preserve">How would you rate the Supplier’s ability to meet the timelines for report and form submissions, including the following aspects:</t>
  </si>
  <si>
    <t xml:space="preserve">How would you rate the Supplier’s ability to meet the required timelines for payment processing?</t>
  </si>
  <si>
    <t xml:space="preserve">How would you rate the supplier's response speed to you when there are issues?</t>
  </si>
  <si>
    <t xml:space="preserve">Has the vendor’s Reputational Assessment been completed?</t>
  </si>
  <si>
    <t xml:space="preserve">Has the Data Privacy Impact Assessment (DPIA) been completed and approved?</t>
  </si>
  <si>
    <t xml:space="preserve">Has the Data Privacy Service Provider Questionnaire Assessment (DPSQ) been completed and approved?</t>
  </si>
  <si>
    <t xml:space="preserve">Andreas ANDREAS</t>
  </si>
  <si>
    <t xml:space="preserve">Andreas</t>
  </si>
  <si>
    <t xml:space="preserve">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t>
  </si>
  <si>
    <t xml:space="preserve">Yulia KURNIATI</t>
  </si>
  <si>
    <t xml:space="preserve">Yulia Kurniati</t>
  </si>
  <si>
    <t xml:space="preserve">More inovation for 2026</t>
  </si>
  <si>
    <t xml:space="preserve">Not required – VSDDT is not applicable for this service</t>
  </si>
  <si>
    <t xml:space="preserve">Improve quality service, specially for leakage, </t>
  </si>
  <si>
    <t xml:space="preserve">Sony NUGROHO</t>
  </si>
  <si>
    <t xml:space="preserve">Sony Nugroho</t>
  </si>
  <si>
    <t xml:space="preserve">Need more improvement regarding initiative to take mitigation/preventive action to prevent the problem from recurring/current issue.</t>
  </si>
  <si>
    <t xml:space="preserve">Enung HARYATI</t>
  </si>
  <si>
    <t xml:space="preserve">Enung Haryati</t>
  </si>
  <si>
    <t xml:space="preserve">Always check and recheck the task in internal PIC TMF before send the report to AMFS PIC </t>
  </si>
  <si>
    <t xml:space="preserve">Reza RESDILANA</t>
  </si>
  <si>
    <t xml:space="preserve">Reza Resdilana</t>
  </si>
  <si>
    <t xml:space="preserve">Diharapkan untuk tim project yang diassign apabila CR sudah di signoff agar availibility dari resource ready</t>
  </si>
</sst>
</file>

<file path=xl/styles.xml><?xml version="1.0" encoding="utf-8"?>
<styleSheet xmlns="http://schemas.openxmlformats.org/spreadsheetml/2006/main">
  <numFmts count="5">
    <numFmt numFmtId="164" formatCode="General"/>
    <numFmt numFmtId="165" formatCode="General"/>
    <numFmt numFmtId="166" formatCode="0.00"/>
    <numFmt numFmtId="167" formatCode="0%"/>
    <numFmt numFmtId="168" formatCode="yyyy\-mm\-dd\ h:mm:ss"/>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1"/>
      <color rgb="FF595959"/>
      <name val="Arial"/>
      <family val="0"/>
      <charset val="1"/>
    </font>
    <font>
      <sz val="10"/>
      <name val="Arial"/>
      <family val="0"/>
      <charset val="1"/>
    </font>
    <font>
      <b val="true"/>
      <sz val="12"/>
      <color rgb="FF1F3864"/>
      <name val="Arial"/>
      <family val="0"/>
      <charset val="1"/>
    </font>
    <font>
      <b val="true"/>
      <sz val="10"/>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name val="Arial"/>
      <family val="0"/>
      <charset val="1"/>
    </font>
    <font>
      <b val="true"/>
      <i val="true"/>
      <sz val="9"/>
      <name val="Arial"/>
      <family val="0"/>
      <charset val="1"/>
    </font>
    <font>
      <i val="true"/>
      <sz val="9"/>
      <color rgb="FF808080"/>
      <name val="Arial"/>
      <family val="0"/>
      <charset val="1"/>
    </font>
    <font>
      <b val="true"/>
      <sz val="14"/>
      <name val="Arial"/>
      <family val="0"/>
      <charset val="1"/>
    </font>
    <font>
      <b val="true"/>
      <sz val="11"/>
      <name val="Arial"/>
      <family val="0"/>
      <charset val="1"/>
    </font>
    <font>
      <b val="true"/>
      <sz val="9"/>
      <name val="Arial"/>
      <family val="0"/>
      <charset val="1"/>
    </font>
    <font>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8" fontId="1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FFFCC"/>
      <rgbColor rgb="FFCCFFFF"/>
      <rgbColor rgb="FF660066"/>
      <rgbColor rgb="FFFF8080"/>
      <rgbColor rgb="FF0066CC"/>
      <rgbColor rgb="FFB7B7B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A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9.7" hidden="false" customHeight="false" outlineLevel="0" collapsed="false">
      <c r="A1" s="1" t="s">
        <v>0</v>
      </c>
    </row>
    <row r="2" customFormat="false" ht="15" hidden="false" customHeight="false" outlineLevel="0" collapsed="false">
      <c r="A2" s="2" t="s">
        <v>1</v>
      </c>
    </row>
    <row r="3" customFormat="false" ht="27.75" hidden="false" customHeight="true" outlineLevel="0" collapsed="false">
      <c r="A3" s="3"/>
    </row>
    <row r="4" customFormat="false" ht="27.75" hidden="false" customHeight="true" outlineLevel="0" collapsed="false">
      <c r="A4" s="4" t="s">
        <v>2</v>
      </c>
    </row>
    <row r="5" customFormat="false" ht="27.75" hidden="false" customHeight="true" outlineLevel="0" collapsed="false">
      <c r="A5" s="3" t="s">
        <v>3</v>
      </c>
    </row>
    <row r="6" customFormat="false" ht="27.75" hidden="false" customHeight="true" outlineLevel="0" collapsed="false">
      <c r="A6" s="3" t="s">
        <v>4</v>
      </c>
    </row>
    <row r="7" customFormat="false" ht="27.75" hidden="false" customHeight="true" outlineLevel="0" collapsed="false">
      <c r="A7" s="3" t="s">
        <v>5</v>
      </c>
    </row>
    <row r="8" customFormat="false" ht="27.75" hidden="false" customHeight="true" outlineLevel="0" collapsed="false">
      <c r="A8" s="3" t="s">
        <v>6</v>
      </c>
    </row>
    <row r="9" customFormat="false" ht="27.75" hidden="false" customHeight="true" outlineLevel="0" collapsed="false">
      <c r="A9" s="3" t="s">
        <v>7</v>
      </c>
    </row>
    <row r="10" customFormat="false" ht="27.75" hidden="false" customHeight="true" outlineLevel="0" collapsed="false">
      <c r="A10" s="3" t="s">
        <v>8</v>
      </c>
    </row>
    <row r="11" customFormat="false" ht="27.75" hidden="false" customHeight="true" outlineLevel="0" collapsed="false">
      <c r="A11" s="3"/>
    </row>
    <row r="12" customFormat="false" ht="27.75" hidden="false" customHeight="true" outlineLevel="0" collapsed="false">
      <c r="A12" s="4" t="s">
        <v>9</v>
      </c>
    </row>
    <row r="13" customFormat="false" ht="27.75" hidden="false" customHeight="true" outlineLevel="0" collapsed="false">
      <c r="A13" s="5" t="s">
        <v>10</v>
      </c>
    </row>
    <row r="14" customFormat="false" ht="27.75" hidden="false" customHeight="true" outlineLevel="0" collapsed="false">
      <c r="A14" s="3" t="s">
        <v>11</v>
      </c>
    </row>
    <row r="15" customFormat="false" ht="27.75" hidden="false" customHeight="true" outlineLevel="0" collapsed="false">
      <c r="A15" s="3" t="s">
        <v>12</v>
      </c>
    </row>
    <row r="16" customFormat="false" ht="27.75" hidden="false" customHeight="true" outlineLevel="0" collapsed="false">
      <c r="A16" s="3" t="s">
        <v>13</v>
      </c>
    </row>
    <row r="17" customFormat="false" ht="27.75" hidden="false" customHeight="true" outlineLevel="0" collapsed="false">
      <c r="A17" s="3"/>
    </row>
    <row r="18" customFormat="false" ht="27.75" hidden="false" customHeight="true" outlineLevel="0" collapsed="false">
      <c r="A18" s="4" t="s">
        <v>14</v>
      </c>
    </row>
    <row r="19" customFormat="false" ht="27.75" hidden="false" customHeight="true" outlineLevel="0" collapsed="false">
      <c r="A19" s="3" t="s">
        <v>15</v>
      </c>
    </row>
    <row r="20" customFormat="false" ht="27.75" hidden="false" customHeight="true" outlineLevel="0" collapsed="false">
      <c r="A20" s="3" t="s">
        <v>16</v>
      </c>
    </row>
    <row r="21" customFormat="false" ht="27.75" hidden="false" customHeight="true" outlineLevel="0" collapsed="false">
      <c r="A21" s="3" t="s">
        <v>17</v>
      </c>
    </row>
    <row r="22" customFormat="false" ht="27.75" hidden="false" customHeight="true" outlineLevel="0" collapsed="false">
      <c r="A22" s="3" t="s">
        <v>18</v>
      </c>
    </row>
    <row r="23" customFormat="false" ht="27.75" hidden="false" customHeight="true" outlineLevel="0" collapsed="false">
      <c r="A23" s="3" t="s">
        <v>19</v>
      </c>
    </row>
    <row r="24" customFormat="false" ht="27.75" hidden="false" customHeight="true" outlineLevel="0" collapsed="false">
      <c r="A24" s="3"/>
    </row>
    <row r="25" customFormat="false" ht="27.75" hidden="false" customHeight="true" outlineLevel="0" collapsed="false">
      <c r="A25" s="4" t="s">
        <v>20</v>
      </c>
    </row>
    <row r="26" customFormat="false" ht="27.75" hidden="false" customHeight="true" outlineLevel="0" collapsed="false">
      <c r="A26" s="3" t="s">
        <v>21</v>
      </c>
    </row>
    <row r="27" customFormat="false" ht="27.75" hidden="false" customHeight="true" outlineLevel="0" collapsed="false">
      <c r="A27" s="3" t="s">
        <v>22</v>
      </c>
    </row>
    <row r="28" customFormat="false" ht="27.75" hidden="false" customHeight="true" outlineLevel="0" collapsed="false">
      <c r="A28" s="3" t="s">
        <v>23</v>
      </c>
    </row>
    <row r="29" customFormat="false" ht="27.75" hidden="false" customHeight="true" outlineLevel="0" collapsed="false">
      <c r="A29" s="3" t="s">
        <v>24</v>
      </c>
    </row>
    <row r="30" customFormat="false" ht="27.75" hidden="false" customHeight="true" outlineLevel="0" collapsed="false">
      <c r="A30" s="3" t="s">
        <v>25</v>
      </c>
    </row>
    <row r="31" customFormat="false" ht="27.75" hidden="false" customHeight="true" outlineLevel="0" collapsed="false">
      <c r="A31" s="3" t="s">
        <v>26</v>
      </c>
    </row>
    <row r="32" customFormat="false" ht="27.75" hidden="false" customHeight="true" outlineLevel="0" collapsed="false">
      <c r="A32" s="3" t="s">
        <v>27</v>
      </c>
    </row>
    <row r="33" customFormat="false" ht="27.75" hidden="false" customHeight="true" outlineLevel="0" collapsed="false">
      <c r="A33" s="3"/>
    </row>
    <row r="34" customFormat="false" ht="27.75" hidden="false" customHeight="true" outlineLevel="0" collapsed="false">
      <c r="A34" s="4" t="s">
        <v>28</v>
      </c>
    </row>
    <row r="35" customFormat="false" ht="27.75" hidden="false" customHeight="true" outlineLevel="0" collapsed="false">
      <c r="A35" s="3" t="s">
        <v>29</v>
      </c>
    </row>
    <row r="36" customFormat="false" ht="27.75" hidden="false" customHeight="true" outlineLevel="0" collapsed="false">
      <c r="A36" s="3" t="s">
        <v>30</v>
      </c>
    </row>
    <row r="37" customFormat="false" ht="27.75" hidden="false" customHeight="true" outlineLevel="0" collapsed="false">
      <c r="A37" s="3" t="s">
        <v>31</v>
      </c>
    </row>
    <row r="38" customFormat="false" ht="27.75" hidden="false" customHeight="true" outlineLevel="0" collapsed="false">
      <c r="A38" s="3" t="s">
        <v>32</v>
      </c>
    </row>
    <row r="39" customFormat="false" ht="27.75" hidden="false" customHeight="true" outlineLevel="0" collapsed="false">
      <c r="A39" s="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Q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26"/>
    <col collapsed="false" customWidth="true" hidden="false" outlineLevel="0" max="4" min="4" style="0" width="20"/>
    <col collapsed="false" customWidth="true" hidden="false" outlineLevel="0" max="8" min="5" style="0" width="10"/>
    <col collapsed="false" customWidth="true" hidden="false" outlineLevel="0" max="10" min="9" style="0" width="12"/>
    <col collapsed="false" customWidth="true" hidden="false" outlineLevel="0" max="17" min="11" style="0" width="10"/>
  </cols>
  <sheetData>
    <row r="1" customFormat="false" ht="45" hidden="false" customHeight="true" outlineLevel="0" collapsed="false">
      <c r="A1" s="6" t="s">
        <v>34</v>
      </c>
      <c r="B1" s="6" t="s">
        <v>35</v>
      </c>
      <c r="C1" s="6" t="s">
        <v>36</v>
      </c>
      <c r="D1" s="6" t="s">
        <v>37</v>
      </c>
      <c r="E1" s="6" t="s">
        <v>38</v>
      </c>
      <c r="F1" s="6" t="s">
        <v>39</v>
      </c>
      <c r="G1" s="6" t="s">
        <v>40</v>
      </c>
      <c r="H1" s="6" t="s">
        <v>41</v>
      </c>
      <c r="I1" s="6" t="s">
        <v>42</v>
      </c>
      <c r="J1" s="6" t="s">
        <v>43</v>
      </c>
      <c r="K1" s="6" t="s">
        <v>44</v>
      </c>
      <c r="L1" s="6" t="s">
        <v>45</v>
      </c>
      <c r="M1" s="6" t="s">
        <v>46</v>
      </c>
      <c r="N1" s="6" t="s">
        <v>47</v>
      </c>
      <c r="O1" s="6" t="s">
        <v>48</v>
      </c>
      <c r="P1" s="6" t="s">
        <v>49</v>
      </c>
      <c r="Q1" s="6" t="s">
        <v>50</v>
      </c>
    </row>
    <row r="2" customFormat="false" ht="15" hidden="false" customHeight="false" outlineLevel="0" collapsed="false">
      <c r="A2" s="7" t="n">
        <v>1</v>
      </c>
      <c r="B2" s="7" t="s">
        <v>51</v>
      </c>
      <c r="C2" s="7" t="s">
        <v>52</v>
      </c>
      <c r="D2" s="8" t="s">
        <v>53</v>
      </c>
      <c r="E2" s="8" t="s">
        <v>54</v>
      </c>
      <c r="F2" s="8" t="s">
        <v>55</v>
      </c>
      <c r="G2" s="8" t="s">
        <v>56</v>
      </c>
      <c r="H2" s="8" t="s">
        <v>57</v>
      </c>
      <c r="I2" s="8" t="s">
        <v>58</v>
      </c>
      <c r="J2" s="8" t="s">
        <v>59</v>
      </c>
      <c r="K2" s="8" t="s">
        <v>60</v>
      </c>
      <c r="L2" s="8" t="s">
        <v>61</v>
      </c>
      <c r="M2" s="8" t="s">
        <v>62</v>
      </c>
      <c r="N2" s="8" t="s">
        <v>63</v>
      </c>
      <c r="O2" s="8" t="s">
        <v>64</v>
      </c>
      <c r="P2" s="8" t="s">
        <v>65</v>
      </c>
      <c r="Q2" s="8" t="s">
        <v>66</v>
      </c>
    </row>
    <row r="3" customFormat="false" ht="15" hidden="false" customHeight="false" outlineLevel="0" collapsed="false">
      <c r="A3" s="7" t="n">
        <v>2</v>
      </c>
      <c r="B3" s="7" t="s">
        <v>67</v>
      </c>
      <c r="C3" s="7" t="s">
        <v>52</v>
      </c>
      <c r="D3" s="8" t="s">
        <v>53</v>
      </c>
      <c r="E3" s="8" t="s">
        <v>68</v>
      </c>
      <c r="F3" s="8" t="s">
        <v>69</v>
      </c>
      <c r="G3" s="8" t="s">
        <v>56</v>
      </c>
      <c r="H3" s="8" t="s">
        <v>57</v>
      </c>
      <c r="I3" s="8" t="s">
        <v>58</v>
      </c>
      <c r="J3" s="8" t="s">
        <v>59</v>
      </c>
      <c r="K3" s="8" t="s">
        <v>60</v>
      </c>
      <c r="L3" s="8" t="s">
        <v>61</v>
      </c>
      <c r="M3" s="8" t="s">
        <v>62</v>
      </c>
      <c r="N3" s="8" t="s">
        <v>63</v>
      </c>
      <c r="O3" s="8" t="s">
        <v>64</v>
      </c>
      <c r="P3" s="8" t="s">
        <v>65</v>
      </c>
      <c r="Q3" s="8" t="s">
        <v>66</v>
      </c>
    </row>
    <row r="4" customFormat="false" ht="15" hidden="false" customHeight="false" outlineLevel="0" collapsed="false">
      <c r="A4" s="7" t="n">
        <v>3</v>
      </c>
      <c r="B4" s="7" t="s">
        <v>70</v>
      </c>
      <c r="C4" s="7" t="s">
        <v>52</v>
      </c>
      <c r="D4" s="8" t="s">
        <v>53</v>
      </c>
      <c r="E4" s="8" t="s">
        <v>71</v>
      </c>
      <c r="F4" s="8" t="s">
        <v>72</v>
      </c>
      <c r="G4" s="8" t="s">
        <v>56</v>
      </c>
      <c r="H4" s="8" t="s">
        <v>57</v>
      </c>
      <c r="I4" s="8" t="s">
        <v>58</v>
      </c>
      <c r="J4" s="8" t="s">
        <v>59</v>
      </c>
      <c r="K4" s="8" t="s">
        <v>60</v>
      </c>
      <c r="L4" s="8" t="s">
        <v>61</v>
      </c>
      <c r="M4" s="8" t="s">
        <v>62</v>
      </c>
      <c r="N4" s="8" t="s">
        <v>63</v>
      </c>
      <c r="O4" s="8" t="s">
        <v>64</v>
      </c>
      <c r="P4" s="8" t="s">
        <v>65</v>
      </c>
      <c r="Q4" s="8" t="s">
        <v>66</v>
      </c>
    </row>
    <row r="5" customFormat="false" ht="15" hidden="false" customHeight="false" outlineLevel="0" collapsed="false">
      <c r="A5" s="7" t="n">
        <v>4</v>
      </c>
      <c r="B5" s="7" t="s">
        <v>73</v>
      </c>
      <c r="C5" s="7" t="s">
        <v>74</v>
      </c>
      <c r="D5" s="8" t="s">
        <v>53</v>
      </c>
      <c r="E5" s="8" t="s">
        <v>75</v>
      </c>
      <c r="F5" s="8" t="s">
        <v>76</v>
      </c>
      <c r="G5" s="8" t="s">
        <v>56</v>
      </c>
      <c r="H5" s="8" t="s">
        <v>57</v>
      </c>
      <c r="I5" s="8" t="s">
        <v>58</v>
      </c>
      <c r="J5" s="8" t="s">
        <v>59</v>
      </c>
      <c r="K5" s="8" t="s">
        <v>60</v>
      </c>
      <c r="L5" s="8" t="s">
        <v>61</v>
      </c>
      <c r="M5" s="8" t="s">
        <v>62</v>
      </c>
      <c r="N5" s="8" t="s">
        <v>63</v>
      </c>
      <c r="O5" s="8" t="s">
        <v>64</v>
      </c>
      <c r="P5" s="8" t="s">
        <v>65</v>
      </c>
      <c r="Q5" s="8" t="s">
        <v>66</v>
      </c>
    </row>
    <row r="6" customFormat="false" ht="15" hidden="false" customHeight="false" outlineLevel="0" collapsed="false">
      <c r="A6" s="7" t="n">
        <v>5</v>
      </c>
      <c r="B6" s="7" t="s">
        <v>77</v>
      </c>
      <c r="C6" s="7" t="s">
        <v>78</v>
      </c>
      <c r="D6" s="8" t="s">
        <v>53</v>
      </c>
      <c r="E6" s="8" t="s">
        <v>79</v>
      </c>
      <c r="F6" s="8" t="s">
        <v>80</v>
      </c>
      <c r="G6" s="8" t="s">
        <v>81</v>
      </c>
      <c r="H6" s="8" t="s">
        <v>82</v>
      </c>
      <c r="I6" s="8" t="s">
        <v>58</v>
      </c>
      <c r="J6" s="8" t="s">
        <v>59</v>
      </c>
      <c r="K6" s="8" t="s">
        <v>60</v>
      </c>
      <c r="L6" s="8" t="s">
        <v>61</v>
      </c>
      <c r="M6" s="8" t="s">
        <v>62</v>
      </c>
      <c r="N6" s="8" t="s">
        <v>63</v>
      </c>
      <c r="O6" s="8" t="s">
        <v>64</v>
      </c>
      <c r="P6" s="8" t="s">
        <v>65</v>
      </c>
      <c r="Q6" s="8" t="s">
        <v>66</v>
      </c>
    </row>
    <row r="7" customFormat="false" ht="15" hidden="false" customHeight="false" outlineLevel="0" collapsed="false">
      <c r="A7" s="7" t="n">
        <v>6</v>
      </c>
      <c r="B7" s="7" t="s">
        <v>83</v>
      </c>
      <c r="C7" s="7" t="s">
        <v>78</v>
      </c>
      <c r="D7" s="8" t="s">
        <v>53</v>
      </c>
      <c r="E7" s="8" t="s">
        <v>84</v>
      </c>
      <c r="F7" s="8" t="s">
        <v>85</v>
      </c>
      <c r="G7" s="8" t="s">
        <v>86</v>
      </c>
      <c r="H7" s="8" t="s">
        <v>87</v>
      </c>
      <c r="I7" s="8" t="s">
        <v>58</v>
      </c>
      <c r="J7" s="8" t="s">
        <v>59</v>
      </c>
      <c r="K7" s="8" t="s">
        <v>60</v>
      </c>
      <c r="L7" s="8" t="s">
        <v>61</v>
      </c>
      <c r="M7" s="8" t="s">
        <v>62</v>
      </c>
      <c r="N7" s="8" t="s">
        <v>63</v>
      </c>
      <c r="O7" s="8" t="s">
        <v>64</v>
      </c>
      <c r="P7" s="8" t="s">
        <v>65</v>
      </c>
      <c r="Q7" s="8" t="s">
        <v>66</v>
      </c>
    </row>
    <row r="8" customFormat="false" ht="15" hidden="false" customHeight="false" outlineLevel="0" collapsed="false">
      <c r="A8" s="7" t="n">
        <v>7</v>
      </c>
      <c r="B8" s="7" t="s">
        <v>88</v>
      </c>
      <c r="C8" s="7" t="s">
        <v>74</v>
      </c>
      <c r="D8" s="8" t="s">
        <v>53</v>
      </c>
      <c r="E8" s="8" t="s">
        <v>89</v>
      </c>
      <c r="F8" s="8" t="s">
        <v>90</v>
      </c>
      <c r="G8" s="8" t="s">
        <v>91</v>
      </c>
      <c r="H8" s="8" t="s">
        <v>92</v>
      </c>
      <c r="I8" s="8" t="s">
        <v>58</v>
      </c>
      <c r="J8" s="8" t="s">
        <v>59</v>
      </c>
      <c r="K8" s="8" t="s">
        <v>60</v>
      </c>
      <c r="L8" s="8" t="s">
        <v>61</v>
      </c>
      <c r="M8" s="8" t="s">
        <v>62</v>
      </c>
      <c r="N8" s="8" t="s">
        <v>63</v>
      </c>
      <c r="O8" s="8" t="s">
        <v>64</v>
      </c>
      <c r="P8" s="8" t="s">
        <v>65</v>
      </c>
      <c r="Q8" s="8" t="s">
        <v>66</v>
      </c>
    </row>
    <row r="9" customFormat="false" ht="15" hidden="false" customHeight="false" outlineLevel="0" collapsed="false">
      <c r="A9" s="7" t="n">
        <v>8</v>
      </c>
      <c r="B9" s="7" t="s">
        <v>93</v>
      </c>
      <c r="C9" s="7" t="s">
        <v>94</v>
      </c>
      <c r="D9" s="8" t="s">
        <v>53</v>
      </c>
      <c r="E9" s="8" t="s">
        <v>95</v>
      </c>
      <c r="F9" s="8" t="s">
        <v>96</v>
      </c>
      <c r="G9" s="8" t="s">
        <v>56</v>
      </c>
      <c r="H9" s="8" t="s">
        <v>57</v>
      </c>
      <c r="I9" s="8" t="s">
        <v>58</v>
      </c>
      <c r="J9" s="8" t="s">
        <v>59</v>
      </c>
      <c r="K9" s="8" t="s">
        <v>60</v>
      </c>
      <c r="L9" s="8" t="s">
        <v>61</v>
      </c>
      <c r="M9" s="8" t="s">
        <v>62</v>
      </c>
      <c r="N9" s="8" t="s">
        <v>63</v>
      </c>
      <c r="O9" s="8" t="s">
        <v>64</v>
      </c>
      <c r="P9" s="8" t="s">
        <v>65</v>
      </c>
      <c r="Q9" s="8" t="s">
        <v>66</v>
      </c>
    </row>
    <row r="10" customFormat="false" ht="15" hidden="false" customHeight="false" outlineLevel="0" collapsed="false">
      <c r="A10" s="7" t="n">
        <v>9</v>
      </c>
      <c r="B10" s="7" t="s">
        <v>97</v>
      </c>
      <c r="C10" s="7" t="s">
        <v>98</v>
      </c>
      <c r="D10" s="8" t="s">
        <v>53</v>
      </c>
      <c r="E10" s="8" t="s">
        <v>99</v>
      </c>
      <c r="F10" s="8" t="s">
        <v>100</v>
      </c>
      <c r="G10" s="8" t="s">
        <v>101</v>
      </c>
      <c r="H10" s="8" t="s">
        <v>102</v>
      </c>
      <c r="I10" s="8" t="s">
        <v>58</v>
      </c>
      <c r="J10" s="8" t="s">
        <v>59</v>
      </c>
      <c r="K10" s="8" t="s">
        <v>60</v>
      </c>
      <c r="L10" s="8" t="s">
        <v>61</v>
      </c>
      <c r="M10" s="8" t="s">
        <v>62</v>
      </c>
      <c r="N10" s="8" t="s">
        <v>63</v>
      </c>
      <c r="O10" s="8" t="s">
        <v>64</v>
      </c>
      <c r="P10" s="8" t="s">
        <v>65</v>
      </c>
      <c r="Q10" s="8" t="s">
        <v>66</v>
      </c>
    </row>
    <row r="11" customFormat="false" ht="15" hidden="false" customHeight="false" outlineLevel="0" collapsed="false">
      <c r="A11" s="7" t="n">
        <v>10</v>
      </c>
      <c r="B11" s="7" t="s">
        <v>103</v>
      </c>
      <c r="C11" s="7" t="s">
        <v>104</v>
      </c>
      <c r="D11" s="8" t="s">
        <v>53</v>
      </c>
      <c r="E11" s="8" t="s">
        <v>105</v>
      </c>
      <c r="F11" s="8" t="s">
        <v>106</v>
      </c>
      <c r="G11" s="8" t="s">
        <v>56</v>
      </c>
      <c r="H11" s="8" t="s">
        <v>57</v>
      </c>
      <c r="I11" s="8" t="s">
        <v>58</v>
      </c>
      <c r="J11" s="8" t="s">
        <v>59</v>
      </c>
      <c r="K11" s="8" t="s">
        <v>60</v>
      </c>
      <c r="L11" s="8" t="s">
        <v>61</v>
      </c>
      <c r="M11" s="8" t="s">
        <v>62</v>
      </c>
      <c r="N11" s="8" t="s">
        <v>63</v>
      </c>
      <c r="O11" s="8" t="s">
        <v>64</v>
      </c>
      <c r="P11" s="8" t="s">
        <v>65</v>
      </c>
      <c r="Q11" s="8" t="s">
        <v>66</v>
      </c>
    </row>
    <row r="12" customFormat="false" ht="15" hidden="false" customHeight="false" outlineLevel="0" collapsed="false">
      <c r="A12" s="7" t="n">
        <v>11</v>
      </c>
      <c r="B12" s="7" t="s">
        <v>107</v>
      </c>
      <c r="C12" s="7" t="s">
        <v>108</v>
      </c>
      <c r="D12" s="8" t="s">
        <v>53</v>
      </c>
      <c r="E12" s="8" t="s">
        <v>109</v>
      </c>
      <c r="F12" s="8" t="s">
        <v>110</v>
      </c>
      <c r="G12" s="8" t="s">
        <v>56</v>
      </c>
      <c r="H12" s="8" t="s">
        <v>57</v>
      </c>
      <c r="I12" s="8" t="s">
        <v>58</v>
      </c>
      <c r="J12" s="8" t="s">
        <v>59</v>
      </c>
      <c r="K12" s="8" t="s">
        <v>60</v>
      </c>
      <c r="L12" s="8" t="s">
        <v>61</v>
      </c>
      <c r="M12" s="8" t="s">
        <v>62</v>
      </c>
      <c r="N12" s="8" t="s">
        <v>63</v>
      </c>
      <c r="O12" s="8" t="s">
        <v>64</v>
      </c>
      <c r="P12" s="8" t="s">
        <v>65</v>
      </c>
      <c r="Q12" s="8" t="s">
        <v>66</v>
      </c>
    </row>
    <row r="13" customFormat="false" ht="15" hidden="false" customHeight="false" outlineLevel="0" collapsed="false">
      <c r="A13" s="7" t="n">
        <v>12</v>
      </c>
      <c r="B13" s="7" t="s">
        <v>111</v>
      </c>
      <c r="C13" s="7" t="s">
        <v>112</v>
      </c>
      <c r="D13" s="8" t="s">
        <v>53</v>
      </c>
      <c r="E13" s="8" t="s">
        <v>113</v>
      </c>
      <c r="F13" s="8" t="s">
        <v>114</v>
      </c>
      <c r="G13" s="8" t="s">
        <v>56</v>
      </c>
      <c r="H13" s="8" t="s">
        <v>57</v>
      </c>
      <c r="I13" s="8" t="s">
        <v>58</v>
      </c>
      <c r="J13" s="8" t="s">
        <v>59</v>
      </c>
      <c r="K13" s="8" t="s">
        <v>60</v>
      </c>
      <c r="L13" s="8" t="s">
        <v>61</v>
      </c>
      <c r="M13" s="8" t="s">
        <v>62</v>
      </c>
      <c r="N13" s="8" t="s">
        <v>63</v>
      </c>
      <c r="O13" s="8" t="s">
        <v>64</v>
      </c>
      <c r="P13" s="8" t="s">
        <v>65</v>
      </c>
      <c r="Q13" s="8" t="s">
        <v>66</v>
      </c>
    </row>
    <row r="14" customFormat="false" ht="15" hidden="false" customHeight="false" outlineLevel="0" collapsed="false">
      <c r="A14" s="7" t="n">
        <v>13</v>
      </c>
      <c r="B14" s="7" t="s">
        <v>115</v>
      </c>
      <c r="C14" s="7" t="s">
        <v>116</v>
      </c>
      <c r="D14" s="8" t="s">
        <v>117</v>
      </c>
      <c r="E14" s="8" t="s">
        <v>118</v>
      </c>
      <c r="F14" s="8" t="s">
        <v>119</v>
      </c>
      <c r="G14" s="8" t="s">
        <v>120</v>
      </c>
      <c r="H14" s="8" t="s">
        <v>121</v>
      </c>
      <c r="I14" s="8" t="s">
        <v>122</v>
      </c>
      <c r="J14" s="8" t="s">
        <v>123</v>
      </c>
      <c r="K14" s="8" t="s">
        <v>124</v>
      </c>
      <c r="L14" s="8" t="s">
        <v>125</v>
      </c>
      <c r="M14" s="8" t="s">
        <v>126</v>
      </c>
      <c r="N14" s="8" t="s">
        <v>127</v>
      </c>
      <c r="O14" s="8" t="s">
        <v>128</v>
      </c>
      <c r="P14" s="8" t="s">
        <v>129</v>
      </c>
      <c r="Q14" s="8" t="s">
        <v>130</v>
      </c>
    </row>
    <row r="15" customFormat="false" ht="15" hidden="false" customHeight="false" outlineLevel="0" collapsed="false">
      <c r="A15" s="7" t="n">
        <v>14</v>
      </c>
      <c r="B15" s="7" t="s">
        <v>131</v>
      </c>
      <c r="C15" s="7" t="s">
        <v>132</v>
      </c>
      <c r="D15" s="8" t="s">
        <v>117</v>
      </c>
      <c r="E15" s="8" t="s">
        <v>133</v>
      </c>
      <c r="F15" s="8" t="s">
        <v>134</v>
      </c>
      <c r="G15" s="8" t="s">
        <v>135</v>
      </c>
      <c r="H15" s="8" t="s">
        <v>136</v>
      </c>
      <c r="I15" s="8" t="s">
        <v>122</v>
      </c>
      <c r="J15" s="8" t="s">
        <v>123</v>
      </c>
      <c r="K15" s="8" t="s">
        <v>124</v>
      </c>
      <c r="L15" s="8" t="s">
        <v>125</v>
      </c>
      <c r="M15" s="8" t="s">
        <v>126</v>
      </c>
      <c r="N15" s="8" t="s">
        <v>127</v>
      </c>
      <c r="O15" s="8" t="s">
        <v>128</v>
      </c>
      <c r="P15" s="8" t="s">
        <v>129</v>
      </c>
      <c r="Q15" s="8" t="s">
        <v>130</v>
      </c>
    </row>
    <row r="16" customFormat="false" ht="15" hidden="false" customHeight="false" outlineLevel="0" collapsed="false">
      <c r="A16" s="7" t="n">
        <v>15</v>
      </c>
      <c r="B16" s="7" t="s">
        <v>137</v>
      </c>
      <c r="C16" s="7" t="s">
        <v>74</v>
      </c>
      <c r="D16" s="8" t="s">
        <v>117</v>
      </c>
      <c r="E16" s="8" t="s">
        <v>96</v>
      </c>
      <c r="F16" s="8" t="s">
        <v>138</v>
      </c>
      <c r="G16" s="8" t="s">
        <v>120</v>
      </c>
      <c r="H16" s="8" t="s">
        <v>121</v>
      </c>
      <c r="I16" s="8" t="s">
        <v>122</v>
      </c>
      <c r="J16" s="8" t="s">
        <v>123</v>
      </c>
      <c r="K16" s="8" t="s">
        <v>124</v>
      </c>
      <c r="L16" s="8" t="s">
        <v>125</v>
      </c>
      <c r="M16" s="8" t="s">
        <v>126</v>
      </c>
      <c r="N16" s="8" t="s">
        <v>127</v>
      </c>
      <c r="O16" s="8" t="s">
        <v>128</v>
      </c>
      <c r="P16" s="8" t="s">
        <v>129</v>
      </c>
      <c r="Q16" s="8" t="s">
        <v>130</v>
      </c>
    </row>
    <row r="17" customFormat="false" ht="15" hidden="false" customHeight="false" outlineLevel="0" collapsed="false">
      <c r="A17" s="7" t="n">
        <v>16</v>
      </c>
      <c r="B17" s="7" t="s">
        <v>139</v>
      </c>
      <c r="C17" s="7" t="s">
        <v>140</v>
      </c>
      <c r="D17" s="8" t="s">
        <v>117</v>
      </c>
      <c r="E17" s="8" t="s">
        <v>141</v>
      </c>
      <c r="F17" s="8" t="s">
        <v>142</v>
      </c>
      <c r="G17" s="8" t="s">
        <v>120</v>
      </c>
      <c r="H17" s="8" t="s">
        <v>121</v>
      </c>
      <c r="I17" s="8" t="s">
        <v>122</v>
      </c>
      <c r="J17" s="8" t="s">
        <v>123</v>
      </c>
      <c r="K17" s="8" t="s">
        <v>124</v>
      </c>
      <c r="L17" s="8" t="s">
        <v>125</v>
      </c>
      <c r="M17" s="8" t="s">
        <v>126</v>
      </c>
      <c r="N17" s="8" t="s">
        <v>127</v>
      </c>
      <c r="O17" s="8" t="s">
        <v>128</v>
      </c>
      <c r="P17" s="8" t="s">
        <v>129</v>
      </c>
      <c r="Q17" s="8" t="s">
        <v>130</v>
      </c>
    </row>
    <row r="18" customFormat="false" ht="15" hidden="false" customHeight="false" outlineLevel="0" collapsed="false">
      <c r="A18" s="7" t="n">
        <v>17</v>
      </c>
      <c r="B18" s="7" t="s">
        <v>143</v>
      </c>
      <c r="C18" s="7" t="s">
        <v>144</v>
      </c>
      <c r="D18" s="8" t="s">
        <v>117</v>
      </c>
      <c r="E18" s="8" t="s">
        <v>109</v>
      </c>
      <c r="F18" s="8" t="s">
        <v>145</v>
      </c>
      <c r="G18" s="8" t="s">
        <v>146</v>
      </c>
      <c r="H18" s="8" t="s">
        <v>147</v>
      </c>
      <c r="I18" s="8" t="s">
        <v>122</v>
      </c>
      <c r="J18" s="8" t="s">
        <v>123</v>
      </c>
      <c r="K18" s="8" t="s">
        <v>124</v>
      </c>
      <c r="L18" s="8" t="s">
        <v>125</v>
      </c>
      <c r="M18" s="8" t="s">
        <v>126</v>
      </c>
      <c r="N18" s="8" t="s">
        <v>127</v>
      </c>
      <c r="O18" s="8" t="s">
        <v>128</v>
      </c>
      <c r="P18" s="8" t="s">
        <v>129</v>
      </c>
      <c r="Q18" s="8" t="s">
        <v>130</v>
      </c>
    </row>
    <row r="19" customFormat="false" ht="15" hidden="false" customHeight="false" outlineLevel="0" collapsed="false">
      <c r="A19" s="7" t="n">
        <v>18</v>
      </c>
      <c r="B19" s="7" t="s">
        <v>148</v>
      </c>
      <c r="C19" s="7" t="s">
        <v>149</v>
      </c>
      <c r="D19" s="8" t="s">
        <v>117</v>
      </c>
      <c r="E19" s="8" t="s">
        <v>150</v>
      </c>
      <c r="F19" s="8" t="s">
        <v>151</v>
      </c>
      <c r="G19" s="8" t="s">
        <v>120</v>
      </c>
      <c r="H19" s="8" t="s">
        <v>121</v>
      </c>
      <c r="I19" s="8" t="s">
        <v>122</v>
      </c>
      <c r="J19" s="8" t="s">
        <v>123</v>
      </c>
      <c r="K19" s="8" t="s">
        <v>124</v>
      </c>
      <c r="L19" s="8" t="s">
        <v>125</v>
      </c>
      <c r="M19" s="8" t="s">
        <v>126</v>
      </c>
      <c r="N19" s="8" t="s">
        <v>127</v>
      </c>
      <c r="O19" s="8" t="s">
        <v>128</v>
      </c>
      <c r="P19" s="8" t="s">
        <v>129</v>
      </c>
      <c r="Q19" s="8"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14"/>
    <col collapsed="false" customWidth="true" hidden="false" outlineLevel="0" max="5" min="4" style="0" width="16"/>
    <col collapsed="false" customWidth="true" hidden="false" outlineLevel="0" max="6" min="6" style="0" width="18"/>
    <col collapsed="false" customWidth="true" hidden="false" outlineLevel="0" max="7" min="7" style="0" width="14"/>
    <col collapsed="false" customWidth="true" hidden="false" outlineLevel="0" max="8" min="8" style="0" width="20"/>
  </cols>
  <sheetData>
    <row r="1" customFormat="false" ht="30" hidden="false" customHeight="true" outlineLevel="0" collapsed="false">
      <c r="A1" s="6" t="s">
        <v>34</v>
      </c>
      <c r="B1" s="6" t="s">
        <v>152</v>
      </c>
      <c r="C1" s="6" t="s">
        <v>153</v>
      </c>
      <c r="D1" s="6" t="s">
        <v>154</v>
      </c>
      <c r="E1" s="6" t="s">
        <v>155</v>
      </c>
      <c r="F1" s="6" t="s">
        <v>156</v>
      </c>
      <c r="G1" s="6" t="s">
        <v>157</v>
      </c>
      <c r="H1" s="6" t="s">
        <v>158</v>
      </c>
    </row>
    <row r="2" customFormat="false" ht="15" hidden="false" customHeight="false" outlineLevel="0" collapsed="false">
      <c r="A2" s="9" t="n">
        <f aca="false">CONFIG!A2</f>
        <v>1</v>
      </c>
      <c r="B2" s="9" t="str">
        <f aca="false">CONFIG!B2</f>
        <v>Itsec Asia - Penetration Testing</v>
      </c>
      <c r="C2" s="9" t="n">
        <f aca="true">MATCH($B2,INDIRECT("'"&amp;CONFIG!D2&amp;"'!$F:$F"),0)</f>
        <v>2</v>
      </c>
      <c r="D2" s="10" t="n">
        <f aca="true">AVERAGE(INDIRECT("'"&amp;CONFIG!D2&amp;"'!"&amp;CONFIG!E2&amp;$C2&amp;":"&amp;CONFIG!F2&amp;$C2))</f>
        <v>3</v>
      </c>
      <c r="E2" s="10" t="n">
        <f aca="true">AVERAGE(INDIRECT("'"&amp;CONFIG!D2&amp;"'!"&amp;CONFIG!G2&amp;$C2&amp;":"&amp;CONFIG!H2&amp;$C2))</f>
        <v>3</v>
      </c>
      <c r="F2" s="10" t="n">
        <f aca="true">AVERAGE(INDIRECT("'"&amp;CONFIG!D2&amp;"'!"&amp;CONFIG!I2&amp;$C2&amp;":"&amp;CONFIG!J2&amp;$C2))</f>
        <v>3</v>
      </c>
      <c r="G2" s="10" t="n">
        <f aca="false">D2*0.35+E2*0.35+F2*0.3</f>
        <v>3</v>
      </c>
      <c r="H2" s="9" t="str">
        <f aca="false">IF(G2&gt;4.99,"Exceptional",IF(G2&gt;3.99,"Exceed Expectation",IF(G2&gt;=2.99,"Meet Expectation",IF(G2&gt;1.9,"Below Expectation","Unsatisfactory"))))</f>
        <v>Meet Expectation</v>
      </c>
    </row>
    <row r="3" customFormat="false" ht="15" hidden="false" customHeight="false" outlineLevel="0" collapsed="false">
      <c r="A3" s="9" t="n">
        <f aca="false">CONFIG!A3</f>
        <v>2</v>
      </c>
      <c r="B3" s="9" t="str">
        <f aca="false">CONFIG!B3</f>
        <v>Iproteksi Telematika - Penetration Testing</v>
      </c>
      <c r="C3" s="9" t="n">
        <f aca="true">MATCH($B3,INDIRECT("'"&amp;CONFIG!D3&amp;"'!$F:$F"),0)</f>
        <v>3</v>
      </c>
      <c r="D3" s="10" t="n">
        <f aca="true">AVERAGE(INDIRECT("'"&amp;CONFIG!D3&amp;"'!"&amp;CONFIG!E3&amp;$C3&amp;":"&amp;CONFIG!F3&amp;$C3))</f>
        <v>4</v>
      </c>
      <c r="E3" s="10" t="n">
        <f aca="true">AVERAGE(INDIRECT("'"&amp;CONFIG!D3&amp;"'!"&amp;CONFIG!G3&amp;$C3&amp;":"&amp;CONFIG!H3&amp;$C3))</f>
        <v>4</v>
      </c>
      <c r="F3" s="10" t="n">
        <f aca="true">AVERAGE(INDIRECT("'"&amp;CONFIG!D3&amp;"'!"&amp;CONFIG!I3&amp;$C3&amp;":"&amp;CONFIG!J3&amp;$C3))</f>
        <v>4</v>
      </c>
      <c r="G3" s="10" t="n">
        <f aca="false">D3*0.35+E3*0.35+F3*0.3</f>
        <v>4</v>
      </c>
      <c r="H3" s="9" t="str">
        <f aca="false">IF(G3&gt;4.99,"Exceptional",IF(G3&gt;3.99,"Exceed Expectation",IF(G3&gt;=2.99,"Meet Expectation",IF(G3&gt;1.9,"Below Expectation","Unsatisfactory"))))</f>
        <v>Exceed Expectation</v>
      </c>
    </row>
    <row r="4" customFormat="false" ht="15" hidden="false" customHeight="false" outlineLevel="0" collapsed="false">
      <c r="A4" s="9" t="n">
        <f aca="false">CONFIG!A4</f>
        <v>3</v>
      </c>
      <c r="B4" s="9" t="str">
        <f aca="false">CONFIG!B4</f>
        <v>FPT Metrodata - Penetration Testing</v>
      </c>
      <c r="C4" s="9" t="n">
        <f aca="true">MATCH($B4,INDIRECT("'"&amp;CONFIG!D4&amp;"'!$F:$F"),0)</f>
        <v>4</v>
      </c>
      <c r="D4" s="10" t="n">
        <f aca="true">AVERAGE(INDIRECT("'"&amp;CONFIG!D4&amp;"'!"&amp;CONFIG!E4&amp;$C4&amp;":"&amp;CONFIG!F4&amp;$C4))</f>
        <v>3</v>
      </c>
      <c r="E4" s="10" t="n">
        <f aca="true">AVERAGE(INDIRECT("'"&amp;CONFIG!D4&amp;"'!"&amp;CONFIG!G4&amp;$C4&amp;":"&amp;CONFIG!H4&amp;$C4))</f>
        <v>3</v>
      </c>
      <c r="F4" s="10" t="n">
        <f aca="true">AVERAGE(INDIRECT("'"&amp;CONFIG!D4&amp;"'!"&amp;CONFIG!I4&amp;$C4&amp;":"&amp;CONFIG!J4&amp;$C4))</f>
        <v>3</v>
      </c>
      <c r="G4" s="10" t="n">
        <f aca="false">D4*0.35+E4*0.35+F4*0.3</f>
        <v>3</v>
      </c>
      <c r="H4" s="9" t="str">
        <f aca="false">IF(G4&gt;4.99,"Exceptional",IF(G4&gt;3.99,"Exceed Expectation",IF(G4&gt;=2.99,"Meet Expectation",IF(G4&gt;1.9,"Below Expectation","Unsatisfactory"))))</f>
        <v>Meet Expectation</v>
      </c>
    </row>
    <row r="5" customFormat="false" ht="15" hidden="false" customHeight="false" outlineLevel="0" collapsed="false">
      <c r="A5" s="9" t="n">
        <f aca="false">CONFIG!A5</f>
        <v>4</v>
      </c>
      <c r="B5" s="9" t="str">
        <f aca="false">CONFIG!B5</f>
        <v>Satria Antaran Prima - Mailing Room</v>
      </c>
      <c r="C5" s="9" t="n">
        <f aca="true">MATCH($B5,INDIRECT("'"&amp;CONFIG!D5&amp;"'!$F:$F"),0)</f>
        <v>5</v>
      </c>
      <c r="D5" s="10" t="n">
        <f aca="true">AVERAGE(INDIRECT("'"&amp;CONFIG!D5&amp;"'!"&amp;CONFIG!E5&amp;$C5&amp;":"&amp;CONFIG!F5&amp;$C5))</f>
        <v>3.25</v>
      </c>
      <c r="E5" s="10" t="n">
        <f aca="true">AVERAGE(INDIRECT("'"&amp;CONFIG!D5&amp;"'!"&amp;CONFIG!G5&amp;$C5&amp;":"&amp;CONFIG!H5&amp;$C5))</f>
        <v>3.33333333333333</v>
      </c>
      <c r="F5" s="10" t="n">
        <f aca="true">AVERAGE(INDIRECT("'"&amp;CONFIG!D5&amp;"'!"&amp;CONFIG!I5&amp;$C5&amp;":"&amp;CONFIG!J5&amp;$C5))</f>
        <v>3.66666666666667</v>
      </c>
      <c r="G5" s="10" t="n">
        <f aca="false">D5*0.35+E5*0.35+F5*0.3</f>
        <v>3.40416666666667</v>
      </c>
      <c r="H5" s="9" t="str">
        <f aca="false">IF(G5&gt;4.99,"Exceptional",IF(G5&gt;3.99,"Exceed Expectation",IF(G5&gt;=2.99,"Meet Expectation",IF(G5&gt;1.9,"Below Expectation","Unsatisfactory"))))</f>
        <v>Meet Expectation</v>
      </c>
    </row>
    <row r="6" customFormat="false" ht="15" hidden="false" customHeight="false" outlineLevel="0" collapsed="false">
      <c r="A6" s="9" t="n">
        <f aca="false">CONFIG!A6</f>
        <v>5</v>
      </c>
      <c r="B6" s="9" t="str">
        <f aca="false">CONFIG!B6</f>
        <v>Informasi Teknologi Indonesia - SMS Broadcast</v>
      </c>
      <c r="C6" s="9" t="n">
        <f aca="true">MATCH($B6,INDIRECT("'"&amp;CONFIG!D6&amp;"'!$F:$F"),0)</f>
        <v>6</v>
      </c>
      <c r="D6" s="10" t="n">
        <f aca="true">AVERAGE(INDIRECT("'"&amp;CONFIG!D6&amp;"'!"&amp;CONFIG!E6&amp;$C6&amp;":"&amp;CONFIG!F6&amp;$C6))</f>
        <v>3</v>
      </c>
      <c r="E6" s="10" t="n">
        <f aca="true">AVERAGE(INDIRECT("'"&amp;CONFIG!D6&amp;"'!"&amp;CONFIG!G6&amp;$C6&amp;":"&amp;CONFIG!H6&amp;$C6))</f>
        <v>3</v>
      </c>
      <c r="F6" s="10" t="n">
        <f aca="true">AVERAGE(INDIRECT("'"&amp;CONFIG!D6&amp;"'!"&amp;CONFIG!I6&amp;$C6&amp;":"&amp;CONFIG!J6&amp;$C6))</f>
        <v>3</v>
      </c>
      <c r="G6" s="10" t="n">
        <f aca="false">D6*0.35+E6*0.35+F6*0.3</f>
        <v>3</v>
      </c>
      <c r="H6" s="9" t="str">
        <f aca="false">IF(G6&gt;4.99,"Exceptional",IF(G6&gt;3.99,"Exceed Expectation",IF(G6&gt;=2.99,"Meet Expectation",IF(G6&gt;1.9,"Below Expectation","Unsatisfactory"))))</f>
        <v>Meet Expectation</v>
      </c>
    </row>
    <row r="7" customFormat="false" ht="15" hidden="false" customHeight="false" outlineLevel="0" collapsed="false">
      <c r="A7" s="9" t="n">
        <f aca="false">CONFIG!A7</f>
        <v>6</v>
      </c>
      <c r="B7" s="9" t="str">
        <f aca="false">CONFIG!B7</f>
        <v>Satria Antaran Prima - Courier Service</v>
      </c>
      <c r="C7" s="9" t="n">
        <f aca="true">MATCH($B7,INDIRECT("'"&amp;CONFIG!D7&amp;"'!$F:$F"),0)</f>
        <v>7</v>
      </c>
      <c r="D7" s="10" t="n">
        <f aca="true">AVERAGE(INDIRECT("'"&amp;CONFIG!D7&amp;"'!"&amp;CONFIG!E7&amp;$C7&amp;":"&amp;CONFIG!F7&amp;$C7))</f>
        <v>3</v>
      </c>
      <c r="E7" s="10" t="n">
        <f aca="true">AVERAGE(INDIRECT("'"&amp;CONFIG!D7&amp;"'!"&amp;CONFIG!G7&amp;$C7&amp;":"&amp;CONFIG!H7&amp;$C7))</f>
        <v>3</v>
      </c>
      <c r="F7" s="10" t="n">
        <f aca="true">AVERAGE(INDIRECT("'"&amp;CONFIG!D7&amp;"'!"&amp;CONFIG!I7&amp;$C7&amp;":"&amp;CONFIG!J7&amp;$C7))</f>
        <v>3</v>
      </c>
      <c r="G7" s="10" t="n">
        <f aca="false">D7*0.35+E7*0.35+F7*0.3</f>
        <v>3</v>
      </c>
      <c r="H7" s="9" t="str">
        <f aca="false">IF(G7&gt;4.99,"Exceptional",IF(G7&gt;3.99,"Exceed Expectation",IF(G7&gt;=2.99,"Meet Expectation",IF(G7&gt;1.9,"Below Expectation","Unsatisfactory"))))</f>
        <v>Meet Expectation</v>
      </c>
    </row>
    <row r="8" customFormat="false" ht="15" hidden="false" customHeight="false" outlineLevel="0" collapsed="false">
      <c r="A8" s="9" t="n">
        <f aca="false">CONFIG!A8</f>
        <v>7</v>
      </c>
      <c r="B8" s="9" t="str">
        <f aca="false">CONFIG!B8</f>
        <v>Multifiling Mitra Indonesia - Record Management Service</v>
      </c>
      <c r="C8" s="9" t="n">
        <f aca="true">MATCH($B8,INDIRECT("'"&amp;CONFIG!D8&amp;"'!$F:$F"),0)</f>
        <v>8</v>
      </c>
      <c r="D8" s="10" t="n">
        <f aca="true">AVERAGE(INDIRECT("'"&amp;CONFIG!D8&amp;"'!"&amp;CONFIG!E8&amp;$C8&amp;":"&amp;CONFIG!F8&amp;$C8))</f>
        <v>3.09090909090909</v>
      </c>
      <c r="E8" s="10" t="n">
        <f aca="true">AVERAGE(INDIRECT("'"&amp;CONFIG!D8&amp;"'!"&amp;CONFIG!G8&amp;$C8&amp;":"&amp;CONFIG!H8&amp;$C8))</f>
        <v>3</v>
      </c>
      <c r="F8" s="10" t="n">
        <f aca="true">AVERAGE(INDIRECT("'"&amp;CONFIG!D8&amp;"'!"&amp;CONFIG!I8&amp;$C8&amp;":"&amp;CONFIG!J8&amp;$C8))</f>
        <v>3</v>
      </c>
      <c r="G8" s="10" t="n">
        <f aca="false">D8*0.35+E8*0.35+F8*0.3</f>
        <v>3.03181818181818</v>
      </c>
      <c r="H8" s="9" t="str">
        <f aca="false">IF(G8&gt;4.99,"Exceptional",IF(G8&gt;3.99,"Exceed Expectation",IF(G8&gt;=2.99,"Meet Expectation",IF(G8&gt;1.9,"Below Expectation","Unsatisfactory"))))</f>
        <v>Meet Expectation</v>
      </c>
    </row>
    <row r="9" customFormat="false" ht="15" hidden="false" customHeight="false" outlineLevel="0" collapsed="false">
      <c r="A9" s="9" t="n">
        <f aca="false">CONFIG!A9</f>
        <v>8</v>
      </c>
      <c r="B9" s="9" t="str">
        <f aca="false">CONFIG!B9</f>
        <v>Indosat - Layanan PBX berbasiskan cloud dengan Teknologi SIP Trunk</v>
      </c>
      <c r="C9" s="9" t="n">
        <f aca="true">MATCH($B9,INDIRECT("'"&amp;CONFIG!D9&amp;"'!$F:$F"),0)</f>
        <v>9</v>
      </c>
      <c r="D9" s="10" t="n">
        <f aca="true">AVERAGE(INDIRECT("'"&amp;CONFIG!D9&amp;"'!"&amp;CONFIG!E9&amp;$C9&amp;":"&amp;CONFIG!F9&amp;$C9))</f>
        <v>3.05263157894737</v>
      </c>
      <c r="E9" s="10" t="n">
        <f aca="true">AVERAGE(INDIRECT("'"&amp;CONFIG!D9&amp;"'!"&amp;CONFIG!G9&amp;$C9&amp;":"&amp;CONFIG!H9&amp;$C9))</f>
        <v>3</v>
      </c>
      <c r="F9" s="10" t="n">
        <f aca="true">AVERAGE(INDIRECT("'"&amp;CONFIG!D9&amp;"'!"&amp;CONFIG!I9&amp;$C9&amp;":"&amp;CONFIG!J9&amp;$C9))</f>
        <v>4</v>
      </c>
      <c r="G9" s="10" t="n">
        <f aca="false">D9*0.35+E9*0.35+F9*0.3</f>
        <v>3.31842105263158</v>
      </c>
      <c r="H9" s="9" t="str">
        <f aca="false">IF(G9&gt;4.99,"Exceptional",IF(G9&gt;3.99,"Exceed Expectation",IF(G9&gt;=2.99,"Meet Expectation",IF(G9&gt;1.9,"Below Expectation","Unsatisfactory"))))</f>
        <v>Meet Expectation</v>
      </c>
    </row>
    <row r="10" customFormat="false" ht="15" hidden="false" customHeight="false" outlineLevel="0" collapsed="false">
      <c r="A10" s="9" t="n">
        <f aca="false">CONFIG!A10</f>
        <v>9</v>
      </c>
      <c r="B10" s="9" t="str">
        <f aca="false">CONFIG!B10</f>
        <v>Ciptadra Softindo - Pemeliharaan Axits &amp; DMTM</v>
      </c>
      <c r="C10" s="9" t="n">
        <f aca="true">MATCH($B10,INDIRECT("'"&amp;CONFIG!D10&amp;"'!$F:$F"),0)</f>
        <v>10</v>
      </c>
      <c r="D10" s="10" t="n">
        <f aca="true">AVERAGE(INDIRECT("'"&amp;CONFIG!D10&amp;"'!"&amp;CONFIG!E10&amp;$C10&amp;":"&amp;CONFIG!F10&amp;$C10))</f>
        <v>4</v>
      </c>
      <c r="E10" s="10" t="n">
        <f aca="true">AVERAGE(INDIRECT("'"&amp;CONFIG!D10&amp;"'!"&amp;CONFIG!G10&amp;$C10&amp;":"&amp;CONFIG!H10&amp;$C10))</f>
        <v>4</v>
      </c>
      <c r="F10" s="10" t="n">
        <f aca="true">AVERAGE(INDIRECT("'"&amp;CONFIG!D10&amp;"'!"&amp;CONFIG!I10&amp;$C10&amp;":"&amp;CONFIG!J10&amp;$C10))</f>
        <v>4</v>
      </c>
      <c r="G10" s="10" t="n">
        <f aca="false">D10*0.35+E10*0.35+F10*0.3</f>
        <v>4</v>
      </c>
      <c r="H10" s="9" t="str">
        <f aca="false">IF(G10&gt;4.99,"Exceptional",IF(G10&gt;3.99,"Exceed Expectation",IF(G10&gt;=2.99,"Meet Expectation",IF(G10&gt;1.9,"Below Expectation","Unsatisfactory"))))</f>
        <v>Exceed Expectation</v>
      </c>
    </row>
    <row r="11" customFormat="false" ht="15" hidden="false" customHeight="false" outlineLevel="0" collapsed="false">
      <c r="A11" s="9" t="n">
        <f aca="false">CONFIG!A11</f>
        <v>10</v>
      </c>
      <c r="B11" s="9" t="str">
        <f aca="false">CONFIG!B11</f>
        <v>Target Sukses Sinergi - Email Marketing Automation</v>
      </c>
      <c r="C11" s="9" t="n">
        <f aca="true">MATCH($B11,INDIRECT("'"&amp;CONFIG!D11&amp;"'!$F:$F"),0)</f>
        <v>11</v>
      </c>
      <c r="D11" s="10" t="n">
        <f aca="true">AVERAGE(INDIRECT("'"&amp;CONFIG!D11&amp;"'!"&amp;CONFIG!E11&amp;$C11&amp;":"&amp;CONFIG!F11&amp;$C11))</f>
        <v>3.71428571428571</v>
      </c>
      <c r="E11" s="10" t="n">
        <f aca="true">AVERAGE(INDIRECT("'"&amp;CONFIG!D11&amp;"'!"&amp;CONFIG!G11&amp;$C11&amp;":"&amp;CONFIG!H11&amp;$C11))</f>
        <v>4</v>
      </c>
      <c r="F11" s="10" t="n">
        <f aca="true">AVERAGE(INDIRECT("'"&amp;CONFIG!D11&amp;"'!"&amp;CONFIG!I11&amp;$C11&amp;":"&amp;CONFIG!J11&amp;$C11))</f>
        <v>4</v>
      </c>
      <c r="G11" s="10" t="n">
        <f aca="false">D11*0.35+E11*0.35+F11*0.3</f>
        <v>3.9</v>
      </c>
      <c r="H11" s="9" t="str">
        <f aca="false">IF(G11&gt;4.99,"Exceptional",IF(G11&gt;3.99,"Exceed Expectation",IF(G11&gt;=2.99,"Meet Expectation",IF(G11&gt;1.9,"Below Expectation","Unsatisfactory"))))</f>
        <v>Meet Expectation</v>
      </c>
    </row>
    <row r="12" customFormat="false" ht="15" hidden="false" customHeight="false" outlineLevel="0" collapsed="false">
      <c r="A12" s="9" t="n">
        <f aca="false">CONFIG!A12</f>
        <v>11</v>
      </c>
      <c r="B12" s="9" t="str">
        <f aca="false">CONFIG!B12</f>
        <v>Inmotion Inovasi Teknologi - Jasa Aplikasi Chatbot dan Live Chat</v>
      </c>
      <c r="C12" s="9" t="n">
        <f aca="true">MATCH($B12,INDIRECT("'"&amp;CONFIG!D12&amp;"'!$F:$F"),0)</f>
        <v>12</v>
      </c>
      <c r="D12" s="10" t="n">
        <f aca="true">AVERAGE(INDIRECT("'"&amp;CONFIG!D12&amp;"'!"&amp;CONFIG!E12&amp;$C12&amp;":"&amp;CONFIG!F12&amp;$C12))</f>
        <v>4</v>
      </c>
      <c r="E12" s="10" t="n">
        <f aca="true">AVERAGE(INDIRECT("'"&amp;CONFIG!D12&amp;"'!"&amp;CONFIG!G12&amp;$C12&amp;":"&amp;CONFIG!H12&amp;$C12))</f>
        <v>4</v>
      </c>
      <c r="F12" s="10" t="n">
        <f aca="true">AVERAGE(INDIRECT("'"&amp;CONFIG!D12&amp;"'!"&amp;CONFIG!I12&amp;$C12&amp;":"&amp;CONFIG!J12&amp;$C12))</f>
        <v>4</v>
      </c>
      <c r="G12" s="10" t="n">
        <f aca="false">D12*0.35+E12*0.35+F12*0.3</f>
        <v>4</v>
      </c>
      <c r="H12" s="9" t="str">
        <f aca="false">IF(G12&gt;4.99,"Exceptional",IF(G12&gt;3.99,"Exceed Expectation",IF(G12&gt;=2.99,"Meet Expectation",IF(G12&gt;1.9,"Below Expectation","Unsatisfactory"))))</f>
        <v>Exceed Expectation</v>
      </c>
    </row>
    <row r="13" customFormat="false" ht="15" hidden="false" customHeight="false" outlineLevel="0" collapsed="false">
      <c r="A13" s="9" t="n">
        <f aca="false">CONFIG!A13</f>
        <v>12</v>
      </c>
      <c r="B13" s="9" t="str">
        <f aca="false">CONFIG!B13</f>
        <v>Mitra Integrasi Informatika - SFDC Maintenance</v>
      </c>
      <c r="C13" s="9" t="n">
        <f aca="true">MATCH($B13,INDIRECT("'"&amp;CONFIG!D13&amp;"'!$F:$F"),0)</f>
        <v>13</v>
      </c>
      <c r="D13" s="10" t="n">
        <f aca="true">AVERAGE(INDIRECT("'"&amp;CONFIG!D13&amp;"'!"&amp;CONFIG!E13&amp;$C13&amp;":"&amp;CONFIG!F13&amp;$C13))</f>
        <v>4.84615384615385</v>
      </c>
      <c r="E13" s="10" t="n">
        <f aca="true">AVERAGE(INDIRECT("'"&amp;CONFIG!D13&amp;"'!"&amp;CONFIG!G13&amp;$C13&amp;":"&amp;CONFIG!H13&amp;$C13))</f>
        <v>4.66666666666667</v>
      </c>
      <c r="F13" s="10" t="n">
        <f aca="true">AVERAGE(INDIRECT("'"&amp;CONFIG!D13&amp;"'!"&amp;CONFIG!I13&amp;$C13&amp;":"&amp;CONFIG!J13&amp;$C13))</f>
        <v>5</v>
      </c>
      <c r="G13" s="10" t="n">
        <f aca="false">D13*0.35+E13*0.35+F13*0.3</f>
        <v>4.82948717948718</v>
      </c>
      <c r="H13" s="9" t="str">
        <f aca="false">IF(G13&gt;4.99,"Exceptional",IF(G13&gt;3.99,"Exceed Expectation",IF(G13&gt;=2.99,"Meet Expectation",IF(G13&gt;1.9,"Below Expectation","Unsatisfactory"))))</f>
        <v>Exceed Expectation</v>
      </c>
    </row>
    <row r="14" customFormat="false" ht="15" hidden="false" customHeight="false" outlineLevel="0" collapsed="false">
      <c r="A14" s="9" t="n">
        <f aca="false">CONFIG!A14</f>
        <v>13</v>
      </c>
      <c r="B14" s="9" t="str">
        <f aca="false">CONFIG!B14</f>
        <v>Sutra Management Consultancies - Implementasi SAS IFRS17</v>
      </c>
      <c r="C14" s="9" t="n">
        <f aca="true">MATCH($B14,INDIRECT("'"&amp;CONFIG!D14&amp;"'!$F:$F"),0)</f>
        <v>2</v>
      </c>
      <c r="D14" s="10" t="n">
        <f aca="true">AVERAGE(INDIRECT("'"&amp;CONFIG!D14&amp;"'!"&amp;CONFIG!E14&amp;$C14&amp;":"&amp;CONFIG!F14&amp;$C14))</f>
        <v>3.42857142857143</v>
      </c>
      <c r="E14" s="10" t="n">
        <f aca="true">AVERAGE(INDIRECT("'"&amp;CONFIG!D14&amp;"'!"&amp;CONFIG!G14&amp;$C14&amp;":"&amp;CONFIG!H14&amp;$C14))</f>
        <v>3.66666666666667</v>
      </c>
      <c r="F14" s="10" t="n">
        <f aca="true">AVERAGE(INDIRECT("'"&amp;CONFIG!D14&amp;"'!"&amp;CONFIG!I14&amp;$C14&amp;":"&amp;CONFIG!J14&amp;$C14))</f>
        <v>4</v>
      </c>
      <c r="G14" s="10" t="n">
        <f aca="false">D14*0.35+E14*0.35+F14*0.3</f>
        <v>3.68333333333333</v>
      </c>
      <c r="H14" s="9" t="str">
        <f aca="false">IF(G14&gt;4.99,"Exceptional",IF(G14&gt;3.99,"Exceed Expectation",IF(G14&gt;=2.99,"Meet Expectation",IF(G14&gt;1.9,"Below Expectation","Unsatisfactory"))))</f>
        <v>Meet Expectation</v>
      </c>
    </row>
    <row r="15" customFormat="false" ht="15" hidden="false" customHeight="false" outlineLevel="0" collapsed="false">
      <c r="A15" s="9" t="n">
        <f aca="false">CONFIG!A15</f>
        <v>14</v>
      </c>
      <c r="B15" s="9" t="str">
        <f aca="false">CONFIG!B15</f>
        <v>Reycom Document Solution - Printing &amp; Data Management Center</v>
      </c>
      <c r="C15" s="9" t="n">
        <f aca="true">MATCH($B15,INDIRECT("'"&amp;CONFIG!D15&amp;"'!$F:$F"),0)</f>
        <v>3</v>
      </c>
      <c r="D15" s="10" t="n">
        <f aca="true">AVERAGE(INDIRECT("'"&amp;CONFIG!D15&amp;"'!"&amp;CONFIG!E15&amp;$C15&amp;":"&amp;CONFIG!F15&amp;$C15))</f>
        <v>4.33333333333333</v>
      </c>
      <c r="E15" s="10" t="n">
        <f aca="true">AVERAGE(INDIRECT("'"&amp;CONFIG!D15&amp;"'!"&amp;CONFIG!G15&amp;$C15&amp;":"&amp;CONFIG!H15&amp;$C15))</f>
        <v>5</v>
      </c>
      <c r="F15" s="10" t="n">
        <f aca="true">AVERAGE(INDIRECT("'"&amp;CONFIG!D15&amp;"'!"&amp;CONFIG!I15&amp;$C15&amp;":"&amp;CONFIG!J15&amp;$C15))</f>
        <v>5</v>
      </c>
      <c r="G15" s="10" t="n">
        <f aca="false">D15*0.35+E15*0.35+F15*0.3</f>
        <v>4.76666666666667</v>
      </c>
      <c r="H15" s="9" t="str">
        <f aca="false">IF(G15&gt;4.99,"Exceptional",IF(G15&gt;3.99,"Exceed Expectation",IF(G15&gt;=2.99,"Meet Expectation",IF(G15&gt;1.9,"Below Expectation","Unsatisfactory"))))</f>
        <v>Exceed Expectation</v>
      </c>
    </row>
    <row r="16" customFormat="false" ht="15" hidden="false" customHeight="false" outlineLevel="0" collapsed="false">
      <c r="A16" s="9" t="n">
        <f aca="false">CONFIG!A16</f>
        <v>15</v>
      </c>
      <c r="B16" s="9" t="str">
        <f aca="false">CONFIG!B16</f>
        <v>Arah Sejahtera Abadi - Perjanjian Sewa Menyewa</v>
      </c>
      <c r="C16" s="9" t="n">
        <f aca="true">MATCH($B16,INDIRECT("'"&amp;CONFIG!D16&amp;"'!$F:$F"),0)</f>
        <v>4</v>
      </c>
      <c r="D16" s="10" t="n">
        <f aca="true">AVERAGE(INDIRECT("'"&amp;CONFIG!D16&amp;"'!"&amp;CONFIG!E16&amp;$C16&amp;":"&amp;CONFIG!F16&amp;$C16))</f>
        <v>2.88888888888889</v>
      </c>
      <c r="E16" s="10" t="n">
        <f aca="true">AVERAGE(INDIRECT("'"&amp;CONFIG!D16&amp;"'!"&amp;CONFIG!G16&amp;$C16&amp;":"&amp;CONFIG!H16&amp;$C16))</f>
        <v>3</v>
      </c>
      <c r="F16" s="10" t="n">
        <f aca="true">AVERAGE(INDIRECT("'"&amp;CONFIG!D16&amp;"'!"&amp;CONFIG!I16&amp;$C16&amp;":"&amp;CONFIG!J16&amp;$C16))</f>
        <v>3</v>
      </c>
      <c r="G16" s="10" t="n">
        <f aca="false">D16*0.35+E16*0.35+F16*0.3</f>
        <v>2.96111111111111</v>
      </c>
      <c r="H16" s="9" t="str">
        <f aca="false">IF(G16&gt;4.99,"Exceptional",IF(G16&gt;3.99,"Exceed Expectation",IF(G16&gt;=2.99,"Meet Expectation",IF(G16&gt;1.9,"Below Expectation","Unsatisfactory"))))</f>
        <v>Below Expectation</v>
      </c>
    </row>
    <row r="17" customFormat="false" ht="15" hidden="false" customHeight="false" outlineLevel="0" collapsed="false">
      <c r="A17" s="9" t="n">
        <f aca="false">CONFIG!A17</f>
        <v>16</v>
      </c>
      <c r="B17" s="9" t="str">
        <f aca="false">CONFIG!B17</f>
        <v>Deloitte Consulting - Data Privacy &amp; Pelatihan Personal Data Protection (PDP)</v>
      </c>
      <c r="C17" s="9" t="n">
        <f aca="true">MATCH($B17,INDIRECT("'"&amp;CONFIG!D17&amp;"'!$F:$F"),0)</f>
        <v>5</v>
      </c>
      <c r="D17" s="10" t="n">
        <f aca="true">AVERAGE(INDIRECT("'"&amp;CONFIG!D17&amp;"'!"&amp;CONFIG!E17&amp;$C17&amp;":"&amp;CONFIG!F17&amp;$C17))</f>
        <v>3.18181818181818</v>
      </c>
      <c r="E17" s="10" t="n">
        <f aca="true">AVERAGE(INDIRECT("'"&amp;CONFIG!D17&amp;"'!"&amp;CONFIG!G17&amp;$C17&amp;":"&amp;CONFIG!H17&amp;$C17))</f>
        <v>3</v>
      </c>
      <c r="F17" s="10" t="n">
        <f aca="true">AVERAGE(INDIRECT("'"&amp;CONFIG!D17&amp;"'!"&amp;CONFIG!I17&amp;$C17&amp;":"&amp;CONFIG!J17&amp;$C17))</f>
        <v>3.33333333333333</v>
      </c>
      <c r="G17" s="10" t="n">
        <f aca="false">D17*0.35+E17*0.35+F17*0.3</f>
        <v>3.16363636363636</v>
      </c>
      <c r="H17" s="9" t="str">
        <f aca="false">IF(G17&gt;4.99,"Exceptional",IF(G17&gt;3.99,"Exceed Expectation",IF(G17&gt;=2.99,"Meet Expectation",IF(G17&gt;1.9,"Below Expectation","Unsatisfactory"))))</f>
        <v>Meet Expectation</v>
      </c>
    </row>
    <row r="18" customFormat="false" ht="15" hidden="false" customHeight="false" outlineLevel="0" collapsed="false">
      <c r="A18" s="9" t="n">
        <f aca="false">CONFIG!A18</f>
        <v>17</v>
      </c>
      <c r="B18" s="9" t="str">
        <f aca="false">CONFIG!B18</f>
        <v>TMF Indonesia - Payroll</v>
      </c>
      <c r="C18" s="9" t="n">
        <f aca="true">MATCH($B18,INDIRECT("'"&amp;CONFIG!D18&amp;"'!$F:$F"),0)</f>
        <v>6</v>
      </c>
      <c r="D18" s="10" t="n">
        <f aca="true">AVERAGE(INDIRECT("'"&amp;CONFIG!D18&amp;"'!"&amp;CONFIG!E18&amp;$C18&amp;":"&amp;CONFIG!F18&amp;$C18))</f>
        <v>3</v>
      </c>
      <c r="E18" s="10" t="n">
        <f aca="true">AVERAGE(INDIRECT("'"&amp;CONFIG!D18&amp;"'!"&amp;CONFIG!G18&amp;$C18&amp;":"&amp;CONFIG!H18&amp;$C18))</f>
        <v>3</v>
      </c>
      <c r="F18" s="10" t="n">
        <f aca="true">AVERAGE(INDIRECT("'"&amp;CONFIG!D18&amp;"'!"&amp;CONFIG!I18&amp;$C18&amp;":"&amp;CONFIG!J18&amp;$C18))</f>
        <v>3</v>
      </c>
      <c r="G18" s="10" t="n">
        <f aca="false">D18*0.35+E18*0.35+F18*0.3</f>
        <v>3</v>
      </c>
      <c r="H18" s="9" t="str">
        <f aca="false">IF(G18&gt;4.99,"Exceptional",IF(G18&gt;3.99,"Exceed Expectation",IF(G18&gt;=2.99,"Meet Expectation",IF(G18&gt;1.9,"Below Expectation","Unsatisfactory"))))</f>
        <v>Meet Expectation</v>
      </c>
    </row>
    <row r="19" customFormat="false" ht="15" hidden="false" customHeight="false" outlineLevel="0" collapsed="false">
      <c r="A19" s="9" t="n">
        <f aca="false">CONFIG!A19</f>
        <v>18</v>
      </c>
      <c r="B19" s="9" t="str">
        <f aca="false">CONFIG!B19</f>
        <v>Karya Putra Surya Gemilang - Telemarketing Revamp Project</v>
      </c>
      <c r="C19" s="9" t="n">
        <f aca="true">MATCH($B19,INDIRECT("'"&amp;CONFIG!D19&amp;"'!$F:$F"),0)</f>
        <v>7</v>
      </c>
      <c r="D19" s="10" t="n">
        <f aca="true">AVERAGE(INDIRECT("'"&amp;CONFIG!D19&amp;"'!"&amp;CONFIG!E19&amp;$C19&amp;":"&amp;CONFIG!F19&amp;$C19))</f>
        <v>3.09090909090909</v>
      </c>
      <c r="E19" s="10" t="n">
        <f aca="true">AVERAGE(INDIRECT("'"&amp;CONFIG!D19&amp;"'!"&amp;CONFIG!G19&amp;$C19&amp;":"&amp;CONFIG!H19&amp;$C19))</f>
        <v>3</v>
      </c>
      <c r="F19" s="10" t="n">
        <f aca="true">AVERAGE(INDIRECT("'"&amp;CONFIG!D19&amp;"'!"&amp;CONFIG!I19&amp;$C19&amp;":"&amp;CONFIG!J19&amp;$C19))</f>
        <v>3</v>
      </c>
      <c r="G19" s="10" t="n">
        <f aca="false">D19*0.35+E19*0.35+F19*0.3</f>
        <v>3.03181818181818</v>
      </c>
      <c r="H19" s="9" t="str">
        <f aca="false">IF(G19&gt;4.99,"Exceptional",IF(G19&gt;3.99,"Exceed Expectation",IF(G19&gt;=2.99,"Meet Expectation",IF(G19&gt;1.9,"Below Expectation","Unsatisfactory"))))</f>
        <v>Meet Expectation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32"/>
    <col collapsed="false" customWidth="true" hidden="false" outlineLevel="0" max="4" min="4" style="0" width="26"/>
    <col collapsed="false" customWidth="true" hidden="false" outlineLevel="0" max="5" min="5" style="0" width="12"/>
    <col collapsed="false" customWidth="true" hidden="false" outlineLevel="0" max="6" min="6" style="0" width="18"/>
    <col collapsed="false" customWidth="true" hidden="false" outlineLevel="0" max="7" min="7" style="0" width="30"/>
    <col collapsed="false" customWidth="true" hidden="false" outlineLevel="0" max="8" min="8" style="0" width="45"/>
    <col collapsed="false" customWidth="true" hidden="false" outlineLevel="0" max="9" min="9" style="0" width="35"/>
    <col collapsed="false" customWidth="true" hidden="false" outlineLevel="0" max="10" min="10" style="0" width="20"/>
    <col collapsed="false" customWidth="true" hidden="false" outlineLevel="0" max="11" min="11" style="0" width="30"/>
  </cols>
  <sheetData>
    <row r="1" customFormat="false" ht="39.75" hidden="false" customHeight="true" outlineLevel="0" collapsed="false">
      <c r="A1" s="6" t="s">
        <v>34</v>
      </c>
      <c r="B1" s="6" t="s">
        <v>159</v>
      </c>
      <c r="C1" s="6" t="s">
        <v>160</v>
      </c>
      <c r="D1" s="6" t="s">
        <v>161</v>
      </c>
      <c r="E1" s="6" t="s">
        <v>162</v>
      </c>
      <c r="F1" s="6" t="s">
        <v>163</v>
      </c>
      <c r="G1" s="6" t="s">
        <v>164</v>
      </c>
      <c r="H1" s="6" t="s">
        <v>165</v>
      </c>
      <c r="I1" s="6" t="s">
        <v>166</v>
      </c>
      <c r="J1" s="6" t="s">
        <v>167</v>
      </c>
      <c r="K1" s="11" t="s">
        <v>168</v>
      </c>
    </row>
    <row r="2" customFormat="false" ht="60" hidden="false" customHeight="true" outlineLevel="0" collapsed="false">
      <c r="A2" s="7" t="n">
        <f aca="false">'SCORE CALC'!A2</f>
        <v>1</v>
      </c>
      <c r="B2" s="12" t="str">
        <f aca="false">TRIM(LEFT(CONFIG!B2,FIND(" - ",CONFIG!B2)-1))</f>
        <v>Itsec Asia</v>
      </c>
      <c r="C2" s="12" t="str">
        <f aca="false">TRIM(MID(CONFIG!B2,FIND(" - ",CONFIG!B2)+3,255))</f>
        <v>Penetration Testing</v>
      </c>
      <c r="D2" s="7" t="str">
        <f aca="false">CONFIG!C2</f>
        <v>fauzi.aryanto@axa-mandiri.co.id</v>
      </c>
      <c r="E2" s="13" t="n">
        <f aca="false">'SCORE CALC'!G2</f>
        <v>3</v>
      </c>
      <c r="F2" s="7" t="str">
        <f aca="false">'SCORE CALC'!H2</f>
        <v>Meet Expectation</v>
      </c>
      <c r="G2" s="12" t="str">
        <f aca="true">INDIRECT("'"&amp;CONFIG!D2&amp;"'!"&amp;CONFIG!K2&amp;'SCORE CALC'!C2)</f>
        <v>Currently no need improvement</v>
      </c>
      <c r="H2" s="12" t="str">
        <f aca="true">"Financial Assessment: "&amp;INDIRECT("'"&amp;CONFIG!D2&amp;"'!"&amp;CONFIG!L2&amp;'SCORE CALC'!C2)&amp;CHAR(10)&amp;"Reputational Assessment: "&amp;INDIRECT("'"&amp;CONFIG!D2&amp;"'!"&amp;CONFIG!M2&amp;'SCORE CALC'!C2)&amp;CHAR(10)&amp;"DPIA: "&amp;INDIRECT("'"&amp;CONFIG!D2&amp;"'!"&amp;CONFIG!N2&amp;'SCORE CALC'!C2)&amp;CHAR(10)&amp;"DPSQ: "&amp;INDIRECT("'"&amp;CONFIG!D2&amp;"'!"&amp;CONFIG!O2&amp;'SCORE CALC'!C2)&amp;CHAR(10)&amp;"VSDDT: "&amp;INDIRECT("'"&amp;CONFIG!D2&amp;"'!"&amp;CONFIG!P2&amp;'SCORE CALC'!C2)&amp;CHAR(10)&amp;"Action Plan: "&amp;INDIRECT("'"&amp;CONFIG!D2&amp;"'!"&amp;CONFIG!Q2&amp;'SCORE CALC'!C2)</f>
        <v>Financial Assessment: Yes
Reputational Assessment: Yes
DPIA: Not required – DPIA is not applicable for this service
DPSQ: Not required – DPSQ is not applicable for this service
VSDDT: Required – VSDDT completed and approved
Action Plan: Yes – All action items have been completed and coordinated with relevant SME</v>
      </c>
      <c r="I2" s="8"/>
      <c r="J2" s="8"/>
      <c r="K2" s="14" t="str">
        <f aca="false">IF(OR(F2="Below Expectation",F2="Unsatisfactory"),B2&amp;" - "&amp;C2,"")</f>
        <v/>
      </c>
    </row>
    <row r="3" customFormat="false" ht="60" hidden="false" customHeight="true" outlineLevel="0" collapsed="false">
      <c r="A3" s="7" t="n">
        <f aca="false">'SCORE CALC'!A3</f>
        <v>2</v>
      </c>
      <c r="B3" s="12" t="str">
        <f aca="false">TRIM(LEFT(CONFIG!B3,FIND(" - ",CONFIG!B3)-1))</f>
        <v>Iproteksi Telematika</v>
      </c>
      <c r="C3" s="12" t="str">
        <f aca="false">TRIM(MID(CONFIG!B3,FIND(" - ",CONFIG!B3)+3,255))</f>
        <v>Penetration Testing</v>
      </c>
      <c r="D3" s="7" t="str">
        <f aca="false">CONFIG!C3</f>
        <v>fauzi.aryanto@axa-mandiri.co.id</v>
      </c>
      <c r="E3" s="13" t="n">
        <f aca="false">'SCORE CALC'!G3</f>
        <v>4</v>
      </c>
      <c r="F3" s="7" t="str">
        <f aca="false">'SCORE CALC'!H3</f>
        <v>Exceed Expectation</v>
      </c>
      <c r="G3" s="12" t="str">
        <f aca="true">INDIRECT("'"&amp;CONFIG!D3&amp;"'!"&amp;CONFIG!K3&amp;'SCORE CALC'!C3)</f>
        <v>no need improvement</v>
      </c>
      <c r="H3" s="12" t="str">
        <f aca="true">"Financial Assessment: "&amp;INDIRECT("'"&amp;CONFIG!D3&amp;"'!"&amp;CONFIG!L3&amp;'SCORE CALC'!C3)&amp;CHAR(10)&amp;"Reputational Assessment: "&amp;INDIRECT("'"&amp;CONFIG!D3&amp;"'!"&amp;CONFIG!M3&amp;'SCORE CALC'!C3)&amp;CHAR(10)&amp;"DPIA: "&amp;INDIRECT("'"&amp;CONFIG!D3&amp;"'!"&amp;CONFIG!N3&amp;'SCORE CALC'!C3)&amp;CHAR(10)&amp;"DPSQ: "&amp;INDIRECT("'"&amp;CONFIG!D3&amp;"'!"&amp;CONFIG!O3&amp;'SCORE CALC'!C3)&amp;CHAR(10)&amp;"VSDDT: "&amp;INDIRECT("'"&amp;CONFIG!D3&amp;"'!"&amp;CONFIG!P3&amp;'SCORE CALC'!C3)&amp;CHAR(10)&amp;"Action Plan: "&amp;INDIRECT("'"&amp;CONFIG!D3&amp;"'!"&amp;CONFIG!Q3&amp;'SCORE CALC'!C3)</f>
        <v>Financial Assessment: Yes
Reputational Assessment: Yes
DPIA: Not required – DPIA is not applicable for this service
DPSQ: Not required – DPSQ is not applicable for this service
VSDDT: Required – VSDDT completed and approved
Action Plan: Yes – All action items have been completed and coordinated with relevant SME</v>
      </c>
      <c r="I3" s="8"/>
      <c r="J3" s="8"/>
      <c r="K3" s="14" t="str">
        <f aca="false">IF(OR(F3="Below Expectation",F3="Unsatisfactory"),B3&amp;" - "&amp;C3,"")</f>
        <v/>
      </c>
    </row>
    <row r="4" customFormat="false" ht="60" hidden="false" customHeight="true" outlineLevel="0" collapsed="false">
      <c r="A4" s="7" t="n">
        <f aca="false">'SCORE CALC'!A4</f>
        <v>3</v>
      </c>
      <c r="B4" s="12" t="str">
        <f aca="false">TRIM(LEFT(CONFIG!B4,FIND(" - ",CONFIG!B4)-1))</f>
        <v>FPT Metrodata</v>
      </c>
      <c r="C4" s="12" t="str">
        <f aca="false">TRIM(MID(CONFIG!B4,FIND(" - ",CONFIG!B4)+3,255))</f>
        <v>Penetration Testing</v>
      </c>
      <c r="D4" s="7" t="str">
        <f aca="false">CONFIG!C4</f>
        <v>fauzi.aryanto@axa-mandiri.co.id</v>
      </c>
      <c r="E4" s="13" t="n">
        <f aca="false">'SCORE CALC'!G4</f>
        <v>3</v>
      </c>
      <c r="F4" s="7" t="str">
        <f aca="false">'SCORE CALC'!H4</f>
        <v>Meet Expectation</v>
      </c>
      <c r="G4" s="12" t="str">
        <f aca="true">INDIRECT("'"&amp;CONFIG!D4&amp;"'!"&amp;CONFIG!K4&amp;'SCORE CALC'!C4)</f>
        <v>No need improvement</v>
      </c>
      <c r="H4" s="12" t="str">
        <f aca="true">"Financial Assessment: "&amp;INDIRECT("'"&amp;CONFIG!D4&amp;"'!"&amp;CONFIG!L4&amp;'SCORE CALC'!C4)&amp;CHAR(10)&amp;"Reputational Assessment: "&amp;INDIRECT("'"&amp;CONFIG!D4&amp;"'!"&amp;CONFIG!M4&amp;'SCORE CALC'!C4)&amp;CHAR(10)&amp;"DPIA: "&amp;INDIRECT("'"&amp;CONFIG!D4&amp;"'!"&amp;CONFIG!N4&amp;'SCORE CALC'!C4)&amp;CHAR(10)&amp;"DPSQ: "&amp;INDIRECT("'"&amp;CONFIG!D4&amp;"'!"&amp;CONFIG!O4&amp;'SCORE CALC'!C4)&amp;CHAR(10)&amp;"VSDDT: "&amp;INDIRECT("'"&amp;CONFIG!D4&amp;"'!"&amp;CONFIG!P4&amp;'SCORE CALC'!C4)&amp;CHAR(10)&amp;"Action Plan: "&amp;INDIRECT("'"&amp;CONFIG!D4&amp;"'!"&amp;CONFIG!Q4&amp;'SCORE CALC'!C4)</f>
        <v>Financial Assessment: Yes
Reputational Assessment: Yes
DPIA: Not required – DPIA is not applicable for this service
DPSQ: Not required – DPSQ is not applicable for this service
VSDDT: Required – VSDDT completed and approved
Action Plan: Yes – All action items have been completed and coordinated with relevant SME</v>
      </c>
      <c r="I4" s="8"/>
      <c r="J4" s="8"/>
      <c r="K4" s="14" t="str">
        <f aca="false">IF(OR(F4="Below Expectation",F4="Unsatisfactory"),B4&amp;" - "&amp;C4,"")</f>
        <v/>
      </c>
    </row>
    <row r="5" customFormat="false" ht="60" hidden="false" customHeight="true" outlineLevel="0" collapsed="false">
      <c r="A5" s="7" t="n">
        <f aca="false">'SCORE CALC'!A5</f>
        <v>4</v>
      </c>
      <c r="B5" s="12" t="str">
        <f aca="false">TRIM(LEFT(CONFIG!B5,FIND(" - ",CONFIG!B5)-1))</f>
        <v>Satria Antaran Prima</v>
      </c>
      <c r="C5" s="12" t="str">
        <f aca="false">TRIM(MID(CONFIG!B5,FIND(" - ",CONFIG!B5)+3,255))</f>
        <v>Mailing Room</v>
      </c>
      <c r="D5" s="7" t="str">
        <f aca="false">CONFIG!C5</f>
        <v>ibnu.kumala@axa-mandiri.co.id</v>
      </c>
      <c r="E5" s="13" t="n">
        <f aca="false">'SCORE CALC'!G5</f>
        <v>3.40416666666667</v>
      </c>
      <c r="F5" s="7" t="str">
        <f aca="false">'SCORE CALC'!H5</f>
        <v>Meet Expectation</v>
      </c>
      <c r="G5" s="12" t="str">
        <f aca="true">INDIRECT("'"&amp;CONFIG!D5&amp;"'!"&amp;CONFIG!K5&amp;'SCORE CALC'!C5)</f>
        <v>Over all mailing ok, please improve coordinated with Headoffice team for reduce complain/misscomm (ex case overseas shipment )</v>
      </c>
      <c r="H5" s="12" t="str">
        <f aca="true">"Financial Assessment: "&amp;INDIRECT("'"&amp;CONFIG!D5&amp;"'!"&amp;CONFIG!L5&amp;'SCORE CALC'!C5)&amp;CHAR(10)&amp;"Reputational Assessment: "&amp;INDIRECT("'"&amp;CONFIG!D5&amp;"'!"&amp;CONFIG!M5&amp;'SCORE CALC'!C5)&amp;CHAR(10)&amp;"DPIA: "&amp;INDIRECT("'"&amp;CONFIG!D5&amp;"'!"&amp;CONFIG!N5&amp;'SCORE CALC'!C5)&amp;CHAR(10)&amp;"DPSQ: "&amp;INDIRECT("'"&amp;CONFIG!D5&amp;"'!"&amp;CONFIG!O5&amp;'SCORE CALC'!C5)&amp;CHAR(10)&amp;"VSDDT: "&amp;INDIRECT("'"&amp;CONFIG!D5&amp;"'!"&amp;CONFIG!P5&amp;'SCORE CALC'!C5)&amp;CHAR(10)&amp;"Action Plan: "&amp;INDIRECT("'"&amp;CONFIG!D5&amp;"'!"&amp;CONFIG!Q5&amp;'SCORE CALC'!C5)</f>
        <v>Financial Assessment: Yes
Reputational Assessment: Yes
DPIA: Required – DPIA completed and approved
DPSQ: Not required – DPSQ is not applicable for this service
VSDDT: Required – VSDDT completed and approved
Action Plan: Yes – All action items have been completed and coordinated with relevant SME</v>
      </c>
      <c r="I5" s="8"/>
      <c r="J5" s="8"/>
      <c r="K5" s="14" t="str">
        <f aca="false">IF(OR(F5="Below Expectation",F5="Unsatisfactory"),B5&amp;" - "&amp;C5,"")</f>
        <v/>
      </c>
    </row>
    <row r="6" customFormat="false" ht="60" hidden="false" customHeight="true" outlineLevel="0" collapsed="false">
      <c r="A6" s="7" t="n">
        <f aca="false">'SCORE CALC'!A6</f>
        <v>5</v>
      </c>
      <c r="B6" s="12" t="str">
        <f aca="false">TRIM(LEFT(CONFIG!B6,FIND(" - ",CONFIG!B6)-1))</f>
        <v>Informasi Teknologi Indonesia</v>
      </c>
      <c r="C6" s="12" t="str">
        <f aca="false">TRIM(MID(CONFIG!B6,FIND(" - ",CONFIG!B6)+3,255))</f>
        <v>SMS Broadcast</v>
      </c>
      <c r="D6" s="7" t="str">
        <f aca="false">CONFIG!C6</f>
        <v>fifin.sarinurlita@axa-mandiri.co.id</v>
      </c>
      <c r="E6" s="13" t="n">
        <f aca="false">'SCORE CALC'!G6</f>
        <v>3</v>
      </c>
      <c r="F6" s="7" t="str">
        <f aca="false">'SCORE CALC'!H6</f>
        <v>Meet Expectation</v>
      </c>
      <c r="G6" s="12" t="str">
        <f aca="true">INDIRECT("'"&amp;CONFIG!D6&amp;"'!"&amp;CONFIG!K6&amp;'SCORE CALC'!C6)</f>
        <v>Jatis has provided good service throughout this year</v>
      </c>
      <c r="H6" s="12" t="str">
        <f aca="true">"Financial Assessment: "&amp;INDIRECT("'"&amp;CONFIG!D6&amp;"'!"&amp;CONFIG!L6&amp;'SCORE CALC'!C6)&amp;CHAR(10)&amp;"Reputational Assessment: "&amp;INDIRECT("'"&amp;CONFIG!D6&amp;"'!"&amp;CONFIG!M6&amp;'SCORE CALC'!C6)&amp;CHAR(10)&amp;"DPIA: "&amp;INDIRECT("'"&amp;CONFIG!D6&amp;"'!"&amp;CONFIG!N6&amp;'SCORE CALC'!C6)&amp;CHAR(10)&amp;"DPSQ: "&amp;INDIRECT("'"&amp;CONFIG!D6&amp;"'!"&amp;CONFIG!O6&amp;'SCORE CALC'!C6)&amp;CHAR(10)&amp;"VSDDT: "&amp;INDIRECT("'"&amp;CONFIG!D6&amp;"'!"&amp;CONFIG!P6&amp;'SCORE CALC'!C6)&amp;CHAR(10)&amp;"Action Plan: "&amp;INDIRECT("'"&amp;CONFIG!D6&amp;"'!"&amp;CONFIG!Q6&amp;'SCORE CALC'!C6)</f>
        <v>Financial Assessment: Yes
Reputational Assessment: Yes
DPIA: Required – DPIA completed and approved
DPSQ: Required – DPSQ completed and approved
VSDDT: Required – VSDDT completed and approved
Action Plan: No – No action items were required</v>
      </c>
      <c r="I6" s="8"/>
      <c r="J6" s="8"/>
      <c r="K6" s="14" t="str">
        <f aca="false">IF(OR(F6="Below Expectation",F6="Unsatisfactory"),B6&amp;" - "&amp;C6,"")</f>
        <v/>
      </c>
    </row>
    <row r="7" customFormat="false" ht="60" hidden="false" customHeight="true" outlineLevel="0" collapsed="false">
      <c r="A7" s="7" t="n">
        <f aca="false">'SCORE CALC'!A7</f>
        <v>6</v>
      </c>
      <c r="B7" s="12" t="str">
        <f aca="false">TRIM(LEFT(CONFIG!B7,FIND(" - ",CONFIG!B7)-1))</f>
        <v>Satria Antaran Prima</v>
      </c>
      <c r="C7" s="12" t="str">
        <f aca="false">TRIM(MID(CONFIG!B7,FIND(" - ",CONFIG!B7)+3,255))</f>
        <v>Courier Service</v>
      </c>
      <c r="D7" s="7" t="str">
        <f aca="false">CONFIG!C7</f>
        <v>fifin.sarinurlita@axa-mandiri.co.id</v>
      </c>
      <c r="E7" s="13" t="n">
        <f aca="false">'SCORE CALC'!G7</f>
        <v>3</v>
      </c>
      <c r="F7" s="7" t="str">
        <f aca="false">'SCORE CALC'!H7</f>
        <v>Meet Expectation</v>
      </c>
      <c r="G7" s="12" t="str">
        <f aca="true">INDIRECT("'"&amp;CONFIG!D7&amp;"'!"&amp;CONFIG!K7&amp;'SCORE CALC'!C7)</f>
        <v>SAP has provided excellent service throughout this year</v>
      </c>
      <c r="H7" s="12" t="str">
        <f aca="true">"Financial Assessment: "&amp;INDIRECT("'"&amp;CONFIG!D7&amp;"'!"&amp;CONFIG!L7&amp;'SCORE CALC'!C7)&amp;CHAR(10)&amp;"Reputational Assessment: "&amp;INDIRECT("'"&amp;CONFIG!D7&amp;"'!"&amp;CONFIG!M7&amp;'SCORE CALC'!C7)&amp;CHAR(10)&amp;"DPIA: "&amp;INDIRECT("'"&amp;CONFIG!D7&amp;"'!"&amp;CONFIG!N7&amp;'SCORE CALC'!C7)&amp;CHAR(10)&amp;"DPSQ: "&amp;INDIRECT("'"&amp;CONFIG!D7&amp;"'!"&amp;CONFIG!O7&amp;'SCORE CALC'!C7)&amp;CHAR(10)&amp;"VSDDT: "&amp;INDIRECT("'"&amp;CONFIG!D7&amp;"'!"&amp;CONFIG!P7&amp;'SCORE CALC'!C7)&amp;CHAR(10)&amp;"Action Plan: "&amp;INDIRECT("'"&amp;CONFIG!D7&amp;"'!"&amp;CONFIG!Q7&amp;'SCORE CALC'!C7)</f>
        <v>Financial Assessment: Yes
Reputational Assessment: Yes
DPIA: Required – DPIA completed and approved
DPSQ: Required – DPSQ completed and approved
VSDDT: Required – VSDDT completed and approved
Action Plan: Yes – Action items identified, but follow‑up and coordination with relevant SME is still required</v>
      </c>
      <c r="I7" s="8"/>
      <c r="J7" s="8"/>
      <c r="K7" s="14" t="str">
        <f aca="false">IF(OR(F7="Below Expectation",F7="Unsatisfactory"),B7&amp;" - "&amp;C7,"")</f>
        <v/>
      </c>
    </row>
    <row r="8" customFormat="false" ht="60" hidden="false" customHeight="true" outlineLevel="0" collapsed="false">
      <c r="A8" s="7" t="n">
        <f aca="false">'SCORE CALC'!A8</f>
        <v>7</v>
      </c>
      <c r="B8" s="12" t="str">
        <f aca="false">TRIM(LEFT(CONFIG!B8,FIND(" - ",CONFIG!B8)-1))</f>
        <v>Multifiling Mitra Indonesia</v>
      </c>
      <c r="C8" s="12" t="str">
        <f aca="false">TRIM(MID(CONFIG!B8,FIND(" - ",CONFIG!B8)+3,255))</f>
        <v>Record Management Service</v>
      </c>
      <c r="D8" s="7" t="str">
        <f aca="false">CONFIG!C8</f>
        <v>ibnu.kumala@axa-mandiri.co.id</v>
      </c>
      <c r="E8" s="13" t="n">
        <f aca="false">'SCORE CALC'!G8</f>
        <v>3.03181818181818</v>
      </c>
      <c r="F8" s="7" t="str">
        <f aca="false">'SCORE CALC'!H8</f>
        <v>Meet Expectation</v>
      </c>
      <c r="G8" s="12" t="str">
        <f aca="true">INDIRECT("'"&amp;CONFIG!D8&amp;"'!"&amp;CONFIG!K8&amp;'SCORE CALC'!C8)</f>
        <v>impprove innovation dan simplyfy process</v>
      </c>
      <c r="H8" s="12" t="str">
        <f aca="true">"Financial Assessment: "&amp;INDIRECT("'"&amp;CONFIG!D8&amp;"'!"&amp;CONFIG!L8&amp;'SCORE CALC'!C8)&amp;CHAR(10)&amp;"Reputational Assessment: "&amp;INDIRECT("'"&amp;CONFIG!D8&amp;"'!"&amp;CONFIG!M8&amp;'SCORE CALC'!C8)&amp;CHAR(10)&amp;"DPIA: "&amp;INDIRECT("'"&amp;CONFIG!D8&amp;"'!"&amp;CONFIG!N8&amp;'SCORE CALC'!C8)&amp;CHAR(10)&amp;"DPSQ: "&amp;INDIRECT("'"&amp;CONFIG!D8&amp;"'!"&amp;CONFIG!O8&amp;'SCORE CALC'!C8)&amp;CHAR(10)&amp;"VSDDT: "&amp;INDIRECT("'"&amp;CONFIG!D8&amp;"'!"&amp;CONFIG!P8&amp;'SCORE CALC'!C8)&amp;CHAR(10)&amp;"Action Plan: "&amp;INDIRECT("'"&amp;CONFIG!D8&amp;"'!"&amp;CONFIG!Q8&amp;'SCORE CALC'!C8)</f>
        <v>Financial Assessment: Yes
Reputational Assessment: Yes
DPIA: Required – DPIA completed and approved
DPSQ: Required – DPSQ completed and approved
VSDDT: Required – VSDDT completed and approved
Action Plan: Yes – All action items have been completed and coordinated with relevant SME</v>
      </c>
      <c r="I8" s="8"/>
      <c r="J8" s="8"/>
      <c r="K8" s="14" t="str">
        <f aca="false">IF(OR(F8="Below Expectation",F8="Unsatisfactory"),B8&amp;" - "&amp;C8,"")</f>
        <v/>
      </c>
    </row>
    <row r="9" customFormat="false" ht="60" hidden="false" customHeight="true" outlineLevel="0" collapsed="false">
      <c r="A9" s="7" t="n">
        <f aca="false">'SCORE CALC'!A9</f>
        <v>8</v>
      </c>
      <c r="B9" s="12" t="str">
        <f aca="false">TRIM(LEFT(CONFIG!B9,FIND(" - ",CONFIG!B9)-1))</f>
        <v>Indosat</v>
      </c>
      <c r="C9" s="12" t="str">
        <f aca="false">TRIM(MID(CONFIG!B9,FIND(" - ",CONFIG!B9)+3,255))</f>
        <v>Layanan PBX berbasiskan cloud dengan Teknologi SIP Trunk</v>
      </c>
      <c r="D9" s="7" t="str">
        <f aca="false">CONFIG!C9</f>
        <v>nuril.hudha@axa-mandiri.co.id</v>
      </c>
      <c r="E9" s="13" t="n">
        <f aca="false">'SCORE CALC'!G9</f>
        <v>3.31842105263158</v>
      </c>
      <c r="F9" s="7" t="str">
        <f aca="false">'SCORE CALC'!H9</f>
        <v>Meet Expectation</v>
      </c>
      <c r="G9" s="12" t="str">
        <f aca="true">INDIRECT("'"&amp;CONFIG!D9&amp;"'!"&amp;CONFIG!K9&amp;'SCORE CALC'!C9)</f>
        <v>The performance is getting better, please keep improve the performance.</v>
      </c>
      <c r="H9" s="12" t="str">
        <f aca="true">"Financial Assessment: "&amp;INDIRECT("'"&amp;CONFIG!D9&amp;"'!"&amp;CONFIG!L9&amp;'SCORE CALC'!C9)&amp;CHAR(10)&amp;"Reputational Assessment: "&amp;INDIRECT("'"&amp;CONFIG!D9&amp;"'!"&amp;CONFIG!M9&amp;'SCORE CALC'!C9)&amp;CHAR(10)&amp;"DPIA: "&amp;INDIRECT("'"&amp;CONFIG!D9&amp;"'!"&amp;CONFIG!N9&amp;'SCORE CALC'!C9)&amp;CHAR(10)&amp;"DPSQ: "&amp;INDIRECT("'"&amp;CONFIG!D9&amp;"'!"&amp;CONFIG!O9&amp;'SCORE CALC'!C9)&amp;CHAR(10)&amp;"VSDDT: "&amp;INDIRECT("'"&amp;CONFIG!D9&amp;"'!"&amp;CONFIG!P9&amp;'SCORE CALC'!C9)&amp;CHAR(10)&amp;"Action Plan: "&amp;INDIRECT("'"&amp;CONFIG!D9&amp;"'!"&amp;CONFIG!Q9&amp;'SCORE CALC'!C9)</f>
        <v>Financial Assessment: No
Reputational Assessment: Yes
DPIA: Required – DPIA completed and approved
DPSQ: Not required – DPSQ is not applicable for this service
VSDDT: Required – VSDDT completed and approved
Action Plan: Yes – Action items identified, but follow‑up and coordination with relevant SME is still required</v>
      </c>
      <c r="I9" s="8"/>
      <c r="J9" s="8"/>
      <c r="K9" s="14" t="str">
        <f aca="false">IF(OR(F9="Below Expectation",F9="Unsatisfactory"),B9&amp;" - "&amp;C9,"")</f>
        <v/>
      </c>
    </row>
    <row r="10" customFormat="false" ht="60" hidden="false" customHeight="true" outlineLevel="0" collapsed="false">
      <c r="A10" s="7" t="n">
        <f aca="false">'SCORE CALC'!A10</f>
        <v>9</v>
      </c>
      <c r="B10" s="12" t="str">
        <f aca="false">TRIM(LEFT(CONFIG!B10,FIND(" - ",CONFIG!B10)-1))</f>
        <v>Ciptadra Softindo</v>
      </c>
      <c r="C10" s="12" t="str">
        <f aca="false">TRIM(MID(CONFIG!B10,FIND(" - ",CONFIG!B10)+3,255))</f>
        <v>Pemeliharaan Axits &amp; DMTM</v>
      </c>
      <c r="D10" s="7" t="str">
        <f aca="false">CONFIG!C10</f>
        <v>raninta.mahardi@axa-mandiri.co.id</v>
      </c>
      <c r="E10" s="13" t="n">
        <f aca="false">'SCORE CALC'!G10</f>
        <v>4</v>
      </c>
      <c r="F10" s="7" t="str">
        <f aca="false">'SCORE CALC'!H10</f>
        <v>Exceed Expectation</v>
      </c>
      <c r="G10" s="12" t="str">
        <f aca="true">INDIRECT("'"&amp;CONFIG!D10&amp;"'!"&amp;CONFIG!K10&amp;'SCORE CALC'!C10)</f>
        <v>Performance is Good</v>
      </c>
      <c r="H10" s="12" t="str">
        <f aca="true">"Financial Assessment: "&amp;INDIRECT("'"&amp;CONFIG!D10&amp;"'!"&amp;CONFIG!L10&amp;'SCORE CALC'!C10)&amp;CHAR(10)&amp;"Reputational Assessment: "&amp;INDIRECT("'"&amp;CONFIG!D10&amp;"'!"&amp;CONFIG!M10&amp;'SCORE CALC'!C10)&amp;CHAR(10)&amp;"DPIA: "&amp;INDIRECT("'"&amp;CONFIG!D10&amp;"'!"&amp;CONFIG!N10&amp;'SCORE CALC'!C10)&amp;CHAR(10)&amp;"DPSQ: "&amp;INDIRECT("'"&amp;CONFIG!D10&amp;"'!"&amp;CONFIG!O10&amp;'SCORE CALC'!C10)&amp;CHAR(10)&amp;"VSDDT: "&amp;INDIRECT("'"&amp;CONFIG!D10&amp;"'!"&amp;CONFIG!P10&amp;'SCORE CALC'!C10)&amp;CHAR(10)&amp;"Action Plan: "&amp;INDIRECT("'"&amp;CONFIG!D10&amp;"'!"&amp;CONFIG!Q10&amp;'SCORE CALC'!C10)</f>
        <v>Financial Assessment: Yes
Reputational Assessment: Yes
DPIA: Required – DPIA completed and approved
DPSQ: Required – DPSQ completed and approved
VSDDT: Required – VSDDT completed and approved
Action Plan: Yes – All action items have been completed and coordinated with relevant SME</v>
      </c>
      <c r="I10" s="8"/>
      <c r="J10" s="8"/>
      <c r="K10" s="14" t="str">
        <f aca="false">IF(OR(F10="Below Expectation",F10="Unsatisfactory"),B10&amp;" - "&amp;C10,"")</f>
        <v/>
      </c>
    </row>
    <row r="11" customFormat="false" ht="60" hidden="false" customHeight="true" outlineLevel="0" collapsed="false">
      <c r="A11" s="7" t="n">
        <f aca="false">'SCORE CALC'!A11</f>
        <v>10</v>
      </c>
      <c r="B11" s="12" t="str">
        <f aca="false">TRIM(LEFT(CONFIG!B11,FIND(" - ",CONFIG!B11)-1))</f>
        <v>Target Sukses Sinergi</v>
      </c>
      <c r="C11" s="12" t="str">
        <f aca="false">TRIM(MID(CONFIG!B11,FIND(" - ",CONFIG!B11)+3,255))</f>
        <v>Email Marketing Automation</v>
      </c>
      <c r="D11" s="7" t="str">
        <f aca="false">CONFIG!C11</f>
        <v>bella.depari@axa-mandiri.co.id</v>
      </c>
      <c r="E11" s="13" t="n">
        <f aca="false">'SCORE CALC'!G11</f>
        <v>3.9</v>
      </c>
      <c r="F11" s="7" t="str">
        <f aca="false">'SCORE CALC'!H11</f>
        <v>Meet Expectation</v>
      </c>
      <c r="G11" s="12" t="str">
        <f aca="true">INDIRECT("'"&amp;CONFIG!D11&amp;"'!"&amp;CONFIG!K11&amp;'SCORE CALC'!C11)</f>
        <v>Harganya buat next contrac please murahin ya</v>
      </c>
      <c r="H11" s="12" t="str">
        <f aca="true">"Financial Assessment: "&amp;INDIRECT("'"&amp;CONFIG!D11&amp;"'!"&amp;CONFIG!L11&amp;'SCORE CALC'!C11)&amp;CHAR(10)&amp;"Reputational Assessment: "&amp;INDIRECT("'"&amp;CONFIG!D11&amp;"'!"&amp;CONFIG!M11&amp;'SCORE CALC'!C11)&amp;CHAR(10)&amp;"DPIA: "&amp;INDIRECT("'"&amp;CONFIG!D11&amp;"'!"&amp;CONFIG!N11&amp;'SCORE CALC'!C11)&amp;CHAR(10)&amp;"DPSQ: "&amp;INDIRECT("'"&amp;CONFIG!D11&amp;"'!"&amp;CONFIG!O11&amp;'SCORE CALC'!C11)&amp;CHAR(10)&amp;"VSDDT: "&amp;INDIRECT("'"&amp;CONFIG!D11&amp;"'!"&amp;CONFIG!P11&amp;'SCORE CALC'!C11)&amp;CHAR(10)&amp;"Action Plan: "&amp;INDIRECT("'"&amp;CONFIG!D11&amp;"'!"&amp;CONFIG!Q11&amp;'SCORE CALC'!C11)</f>
        <v>Financial Assessment: Yes
Reputational Assessment: Yes
DPIA: Required – DPIA completed and approved
DPSQ: Required – DPSQ completed and approved
VSDDT: Required – VSDDT completed and approved
Action Plan: Yes – All action items have been completed and coordinated with relevant SME</v>
      </c>
      <c r="I11" s="8"/>
      <c r="J11" s="8"/>
      <c r="K11" s="14" t="str">
        <f aca="false">IF(OR(F11="Below Expectation",F11="Unsatisfactory"),B11&amp;" - "&amp;C11,"")</f>
        <v/>
      </c>
    </row>
    <row r="12" customFormat="false" ht="60" hidden="false" customHeight="true" outlineLevel="0" collapsed="false">
      <c r="A12" s="7" t="n">
        <f aca="false">'SCORE CALC'!A12</f>
        <v>11</v>
      </c>
      <c r="B12" s="12" t="str">
        <f aca="false">TRIM(LEFT(CONFIG!B12,FIND(" - ",CONFIG!B12)-1))</f>
        <v>Inmotion Inovasi Teknologi</v>
      </c>
      <c r="C12" s="12" t="str">
        <f aca="false">TRIM(MID(CONFIG!B12,FIND(" - ",CONFIG!B12)+3,255))</f>
        <v>Jasa Aplikasi Chatbot dan Live Chat</v>
      </c>
      <c r="D12" s="7" t="str">
        <f aca="false">CONFIG!C12</f>
        <v>djoko.djoko@axa-mandiri.co.id</v>
      </c>
      <c r="E12" s="13" t="n">
        <f aca="false">'SCORE CALC'!G12</f>
        <v>4</v>
      </c>
      <c r="F12" s="7" t="str">
        <f aca="false">'SCORE CALC'!H12</f>
        <v>Exceed Expectation</v>
      </c>
      <c r="G12" s="12" t="str">
        <f aca="true">INDIRECT("'"&amp;CONFIG!D12&amp;"'!"&amp;CONFIG!K12&amp;'SCORE CALC'!C12)</f>
        <v>continue performing thorough and frequent periodic checks to ensure that during service hours, there are no issues that could disrupt operations and resolve the remaining unresolved 401 issue
Berikan umpan balik Anda tentang BizChat</v>
      </c>
      <c r="H12" s="12" t="str">
        <f aca="true">"Financial Assessment: "&amp;INDIRECT("'"&amp;CONFIG!D12&amp;"'!"&amp;CONFIG!L12&amp;'SCORE CALC'!C12)&amp;CHAR(10)&amp;"Reputational Assessment: "&amp;INDIRECT("'"&amp;CONFIG!D12&amp;"'!"&amp;CONFIG!M12&amp;'SCORE CALC'!C12)&amp;CHAR(10)&amp;"DPIA: "&amp;INDIRECT("'"&amp;CONFIG!D12&amp;"'!"&amp;CONFIG!N12&amp;'SCORE CALC'!C12)&amp;CHAR(10)&amp;"DPSQ: "&amp;INDIRECT("'"&amp;CONFIG!D12&amp;"'!"&amp;CONFIG!O12&amp;'SCORE CALC'!C12)&amp;CHAR(10)&amp;"VSDDT: "&amp;INDIRECT("'"&amp;CONFIG!D12&amp;"'!"&amp;CONFIG!P12&amp;'SCORE CALC'!C12)&amp;CHAR(10)&amp;"Action Plan: "&amp;INDIRECT("'"&amp;CONFIG!D12&amp;"'!"&amp;CONFIG!Q12&amp;'SCORE CALC'!C12)</f>
        <v>Financial Assessment: Yes
Reputational Assessment: Yes
DPIA: Required – DPIA completed and approved
DPSQ: Required – DPSQ not yet completed or approved
VSDDT: Required – VSDDT completed and approved
Action Plan: Yes – All action items have been completed and coordinated with relevant SME</v>
      </c>
      <c r="I12" s="8"/>
      <c r="J12" s="8"/>
      <c r="K12" s="14" t="str">
        <f aca="false">IF(OR(F12="Below Expectation",F12="Unsatisfactory"),B12&amp;" - "&amp;C12,"")</f>
        <v/>
      </c>
    </row>
    <row r="13" customFormat="false" ht="60" hidden="false" customHeight="true" outlineLevel="0" collapsed="false">
      <c r="A13" s="7" t="n">
        <f aca="false">'SCORE CALC'!A13</f>
        <v>12</v>
      </c>
      <c r="B13" s="12" t="str">
        <f aca="false">TRIM(LEFT(CONFIG!B13,FIND(" - ",CONFIG!B13)-1))</f>
        <v>Mitra Integrasi Informatika</v>
      </c>
      <c r="C13" s="12" t="str">
        <f aca="false">TRIM(MID(CONFIG!B13,FIND(" - ",CONFIG!B13)+3,255))</f>
        <v>SFDC Maintenance</v>
      </c>
      <c r="D13" s="7" t="str">
        <f aca="false">CONFIG!C13</f>
        <v>chandra.putra@axa-mandiri.co.id</v>
      </c>
      <c r="E13" s="13" t="n">
        <f aca="false">'SCORE CALC'!G13</f>
        <v>4.82948717948718</v>
      </c>
      <c r="F13" s="7" t="str">
        <f aca="false">'SCORE CALC'!H13</f>
        <v>Exceed Expectation</v>
      </c>
      <c r="G13" s="12" t="str">
        <f aca="true">INDIRECT("'"&amp;CONFIG!D13&amp;"'!"&amp;CONFIG!K13&amp;'SCORE CALC'!C13)</f>
        <v>verall, the level of support has been satisfactory. The improvements carried out were highly effective, and several demands were consistent with the initial assessment and expectations.</v>
      </c>
      <c r="H13" s="12" t="str">
        <f aca="true">"Financial Assessment: "&amp;INDIRECT("'"&amp;CONFIG!D13&amp;"'!"&amp;CONFIG!L13&amp;'SCORE CALC'!C13)&amp;CHAR(10)&amp;"Reputational Assessment: "&amp;INDIRECT("'"&amp;CONFIG!D13&amp;"'!"&amp;CONFIG!M13&amp;'SCORE CALC'!C13)&amp;CHAR(10)&amp;"DPIA: "&amp;INDIRECT("'"&amp;CONFIG!D13&amp;"'!"&amp;CONFIG!N13&amp;'SCORE CALC'!C13)&amp;CHAR(10)&amp;"DPSQ: "&amp;INDIRECT("'"&amp;CONFIG!D13&amp;"'!"&amp;CONFIG!O13&amp;'SCORE CALC'!C13)&amp;CHAR(10)&amp;"VSDDT: "&amp;INDIRECT("'"&amp;CONFIG!D13&amp;"'!"&amp;CONFIG!P13&amp;'SCORE CALC'!C13)&amp;CHAR(10)&amp;"Action Plan: "&amp;INDIRECT("'"&amp;CONFIG!D13&amp;"'!"&amp;CONFIG!Q13&amp;'SCORE CALC'!C13)</f>
        <v>Financial Assessment: No
Reputational Assessment: No
DPIA: Not required – DPIA is not applicable for this service
DPSQ: Not required – DPSQ is not applicable for this service
VSDDT: Required – VSDDT not yet completed or approved
Action Plan: No – No action items were required</v>
      </c>
      <c r="I13" s="8"/>
      <c r="J13" s="8"/>
      <c r="K13" s="14" t="str">
        <f aca="false">IF(OR(F13="Below Expectation",F13="Unsatisfactory"),B13&amp;" - "&amp;C13,"")</f>
        <v/>
      </c>
    </row>
    <row r="14" customFormat="false" ht="60" hidden="false" customHeight="true" outlineLevel="0" collapsed="false">
      <c r="A14" s="7" t="n">
        <f aca="false">'SCORE CALC'!A14</f>
        <v>13</v>
      </c>
      <c r="B14" s="12" t="str">
        <f aca="false">TRIM(LEFT(CONFIG!B14,FIND(" - ",CONFIG!B14)-1))</f>
        <v>Sutra Management Consultancies</v>
      </c>
      <c r="C14" s="12" t="str">
        <f aca="false">TRIM(MID(CONFIG!B14,FIND(" - ",CONFIG!B14)+3,255))</f>
        <v>Implementasi SAS IFRS17</v>
      </c>
      <c r="D14" s="7" t="str">
        <f aca="false">CONFIG!C14</f>
        <v>andreas.boedijanto@axa-mandiri.co.id</v>
      </c>
      <c r="E14" s="13" t="n">
        <f aca="false">'SCORE CALC'!G14</f>
        <v>3.68333333333333</v>
      </c>
      <c r="F14" s="7" t="str">
        <f aca="false">'SCORE CALC'!H14</f>
        <v>Meet Expectation</v>
      </c>
      <c r="G14" s="12" t="str">
        <f aca="true">INDIRECT("'"&amp;CONFIG!D14&amp;"'!"&amp;CONFIG!K14&amp;'SCORE CALC'!C14)</f>
        <v>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v>
      </c>
      <c r="H14" s="12" t="str">
        <f aca="true">"Financial Assessment: "&amp;INDIRECT("'"&amp;CONFIG!D14&amp;"'!"&amp;CONFIG!L14&amp;'SCORE CALC'!C14)&amp;CHAR(10)&amp;"Reputational Assessment: "&amp;INDIRECT("'"&amp;CONFIG!D14&amp;"'!"&amp;CONFIG!M14&amp;'SCORE CALC'!C14)&amp;CHAR(10)&amp;"DPIA: "&amp;INDIRECT("'"&amp;CONFIG!D14&amp;"'!"&amp;CONFIG!N14&amp;'SCORE CALC'!C14)&amp;CHAR(10)&amp;"DPSQ: "&amp;INDIRECT("'"&amp;CONFIG!D14&amp;"'!"&amp;CONFIG!O14&amp;'SCORE CALC'!C14)&amp;CHAR(10)&amp;"VSDDT: "&amp;INDIRECT("'"&amp;CONFIG!D14&amp;"'!"&amp;CONFIG!P14&amp;'SCORE CALC'!C14)&amp;CHAR(10)&amp;"Action Plan: "&amp;INDIRECT("'"&amp;CONFIG!D14&amp;"'!"&amp;CONFIG!Q14&amp;'SCORE CALC'!C14)</f>
        <v>Financial Assessment: Yes
Reputational Assessment: Yes
DPIA: Not required – DPIA is not applicable for this service
DPSQ: Not required – DPSQ is not applicable for this service
VSDDT: Required – VSDDT completed and approved
Action Plan: Yes – Action items identified, but follow‑up and coordination with relevant SME is still required</v>
      </c>
      <c r="I14" s="8"/>
      <c r="J14" s="8"/>
      <c r="K14" s="14" t="str">
        <f aca="false">IF(OR(F14="Below Expectation",F14="Unsatisfactory"),B14&amp;" - "&amp;C14,"")</f>
        <v/>
      </c>
    </row>
    <row r="15" customFormat="false" ht="60" hidden="false" customHeight="true" outlineLevel="0" collapsed="false">
      <c r="A15" s="7" t="n">
        <f aca="false">'SCORE CALC'!A15</f>
        <v>14</v>
      </c>
      <c r="B15" s="12" t="str">
        <f aca="false">TRIM(LEFT(CONFIG!B15,FIND(" - ",CONFIG!B15)-1))</f>
        <v>Reycom Document Solution</v>
      </c>
      <c r="C15" s="12" t="str">
        <f aca="false">TRIM(MID(CONFIG!B15,FIND(" - ",CONFIG!B15)+3,255))</f>
        <v>Printing &amp; Data Management Center</v>
      </c>
      <c r="D15" s="7" t="str">
        <f aca="false">CONFIG!C15</f>
        <v>yulia.kurniati@axa-mandiri.co.id</v>
      </c>
      <c r="E15" s="13" t="n">
        <f aca="false">'SCORE CALC'!G15</f>
        <v>4.76666666666667</v>
      </c>
      <c r="F15" s="7" t="str">
        <f aca="false">'SCORE CALC'!H15</f>
        <v>Exceed Expectation</v>
      </c>
      <c r="G15" s="12" t="str">
        <f aca="true">INDIRECT("'"&amp;CONFIG!D15&amp;"'!"&amp;CONFIG!K15&amp;'SCORE CALC'!C15)</f>
        <v>More inovation for 2026</v>
      </c>
      <c r="H15" s="12" t="str">
        <f aca="true">"Financial Assessment: "&amp;INDIRECT("'"&amp;CONFIG!D15&amp;"'!"&amp;CONFIG!L15&amp;'SCORE CALC'!C15)&amp;CHAR(10)&amp;"Reputational Assessment: "&amp;INDIRECT("'"&amp;CONFIG!D15&amp;"'!"&amp;CONFIG!M15&amp;'SCORE CALC'!C15)&amp;CHAR(10)&amp;"DPIA: "&amp;INDIRECT("'"&amp;CONFIG!D15&amp;"'!"&amp;CONFIG!N15&amp;'SCORE CALC'!C15)&amp;CHAR(10)&amp;"DPSQ: "&amp;INDIRECT("'"&amp;CONFIG!D15&amp;"'!"&amp;CONFIG!O15&amp;'SCORE CALC'!C15)&amp;CHAR(10)&amp;"VSDDT: "&amp;INDIRECT("'"&amp;CONFIG!D15&amp;"'!"&amp;CONFIG!P15&amp;'SCORE CALC'!C15)&amp;CHAR(10)&amp;"Action Plan: "&amp;INDIRECT("'"&amp;CONFIG!D15&amp;"'!"&amp;CONFIG!Q15&amp;'SCORE CALC'!C15)</f>
        <v>Financial Assessment: Yes
Reputational Assessment: Yes
DPIA: Required – DPIA completed and approved
DPSQ: Required – DPSQ completed and approved
VSDDT: Required – VSDDT completed and approved
Action Plan: No – No action items were required</v>
      </c>
      <c r="I15" s="8"/>
      <c r="J15" s="8"/>
      <c r="K15" s="14" t="str">
        <f aca="false">IF(OR(F15="Below Expectation",F15="Unsatisfactory"),B15&amp;" - "&amp;C15,"")</f>
        <v/>
      </c>
    </row>
    <row r="16" customFormat="false" ht="60" hidden="false" customHeight="true" outlineLevel="0" collapsed="false">
      <c r="A16" s="7" t="n">
        <f aca="false">'SCORE CALC'!A16</f>
        <v>15</v>
      </c>
      <c r="B16" s="12" t="str">
        <f aca="false">TRIM(LEFT(CONFIG!B16,FIND(" - ",CONFIG!B16)-1))</f>
        <v>Arah Sejahtera Abadi</v>
      </c>
      <c r="C16" s="12" t="str">
        <f aca="false">TRIM(MID(CONFIG!B16,FIND(" - ",CONFIG!B16)+3,255))</f>
        <v>Perjanjian Sewa Menyewa</v>
      </c>
      <c r="D16" s="7" t="str">
        <f aca="false">CONFIG!C16</f>
        <v>ibnu.kumala@axa-mandiri.co.id</v>
      </c>
      <c r="E16" s="13" t="n">
        <f aca="false">'SCORE CALC'!G16</f>
        <v>2.96111111111111</v>
      </c>
      <c r="F16" s="7" t="str">
        <f aca="false">'SCORE CALC'!H16</f>
        <v>Below Expectation</v>
      </c>
      <c r="G16" s="12" t="str">
        <f aca="true">INDIRECT("'"&amp;CONFIG!D16&amp;"'!"&amp;CONFIG!K16&amp;'SCORE CALC'!C16)</f>
        <v>Improve quality service, specially for leakage, </v>
      </c>
      <c r="H16" s="12" t="str">
        <f aca="true">"Financial Assessment: "&amp;INDIRECT("'"&amp;CONFIG!D16&amp;"'!"&amp;CONFIG!L16&amp;'SCORE CALC'!C16)&amp;CHAR(10)&amp;"Reputational Assessment: "&amp;INDIRECT("'"&amp;CONFIG!D16&amp;"'!"&amp;CONFIG!M16&amp;'SCORE CALC'!C16)&amp;CHAR(10)&amp;"DPIA: "&amp;INDIRECT("'"&amp;CONFIG!D16&amp;"'!"&amp;CONFIG!N16&amp;'SCORE CALC'!C16)&amp;CHAR(10)&amp;"DPSQ: "&amp;INDIRECT("'"&amp;CONFIG!D16&amp;"'!"&amp;CONFIG!O16&amp;'SCORE CALC'!C16)&amp;CHAR(10)&amp;"VSDDT: "&amp;INDIRECT("'"&amp;CONFIG!D16&amp;"'!"&amp;CONFIG!P16&amp;'SCORE CALC'!C16)&amp;CHAR(10)&amp;"Action Plan: "&amp;INDIRECT("'"&amp;CONFIG!D16&amp;"'!"&amp;CONFIG!Q16&amp;'SCORE CALC'!C16)</f>
        <v>Financial Assessment: No
Reputational Assessment: No
DPIA: Not required – DPIA is not applicable for this service
DPSQ: Not required – DPSQ is not applicable for this service
VSDDT: Not required – VSDDT is not applicable for this service
Action Plan: No – No action items were required</v>
      </c>
      <c r="I16" s="8"/>
      <c r="J16" s="8"/>
      <c r="K16" s="14" t="str">
        <f aca="false">IF(OR(F16="Below Expectation",F16="Unsatisfactory"),B16&amp;" - "&amp;C16,"")</f>
        <v>Arah Sejahtera Abadi - Perjanjian Sewa Menyewa</v>
      </c>
    </row>
    <row r="17" customFormat="false" ht="60" hidden="false" customHeight="true" outlineLevel="0" collapsed="false">
      <c r="A17" s="7" t="n">
        <f aca="false">'SCORE CALC'!A17</f>
        <v>16</v>
      </c>
      <c r="B17" s="12" t="str">
        <f aca="false">TRIM(LEFT(CONFIG!B17,FIND(" - ",CONFIG!B17)-1))</f>
        <v>Deloitte Consulting</v>
      </c>
      <c r="C17" s="12" t="str">
        <f aca="false">TRIM(MID(CONFIG!B17,FIND(" - ",CONFIG!B17)+3,255))</f>
        <v>Data Privacy &amp; Pelatihan Personal Data Protection (PDP)</v>
      </c>
      <c r="D17" s="7" t="str">
        <f aca="false">CONFIG!C17</f>
        <v>sony.nugroho@axa-mandiri.co.id</v>
      </c>
      <c r="E17" s="13" t="n">
        <f aca="false">'SCORE CALC'!G17</f>
        <v>3.16363636363636</v>
      </c>
      <c r="F17" s="7" t="str">
        <f aca="false">'SCORE CALC'!H17</f>
        <v>Meet Expectation</v>
      </c>
      <c r="G17" s="12" t="str">
        <f aca="true">INDIRECT("'"&amp;CONFIG!D17&amp;"'!"&amp;CONFIG!K17&amp;'SCORE CALC'!C17)</f>
        <v>Need more improvement regarding initiative to take mitigation/preventive action to prevent the problem from recurring/current issue.</v>
      </c>
      <c r="H17" s="12" t="str">
        <f aca="true">"Financial Assessment: "&amp;INDIRECT("'"&amp;CONFIG!D17&amp;"'!"&amp;CONFIG!L17&amp;'SCORE CALC'!C17)&amp;CHAR(10)&amp;"Reputational Assessment: "&amp;INDIRECT("'"&amp;CONFIG!D17&amp;"'!"&amp;CONFIG!M17&amp;'SCORE CALC'!C17)&amp;CHAR(10)&amp;"DPIA: "&amp;INDIRECT("'"&amp;CONFIG!D17&amp;"'!"&amp;CONFIG!N17&amp;'SCORE CALC'!C17)&amp;CHAR(10)&amp;"DPSQ: "&amp;INDIRECT("'"&amp;CONFIG!D17&amp;"'!"&amp;CONFIG!O17&amp;'SCORE CALC'!C17)&amp;CHAR(10)&amp;"VSDDT: "&amp;INDIRECT("'"&amp;CONFIG!D17&amp;"'!"&amp;CONFIG!P17&amp;'SCORE CALC'!C17)&amp;CHAR(10)&amp;"Action Plan: "&amp;INDIRECT("'"&amp;CONFIG!D17&amp;"'!"&amp;CONFIG!Q17&amp;'SCORE CALC'!C17)</f>
        <v>Financial Assessment: Yes
Reputational Assessment: Yes
DPIA: Required – DPIA completed and approved
DPSQ: 
VSDDT: Required – VSDDT completed and approved
Action Plan: No – No action items were required</v>
      </c>
      <c r="I17" s="8"/>
      <c r="J17" s="8"/>
      <c r="K17" s="14" t="str">
        <f aca="false">IF(OR(F17="Below Expectation",F17="Unsatisfactory"),B17&amp;" - "&amp;C17,"")</f>
        <v/>
      </c>
    </row>
    <row r="18" customFormat="false" ht="60" hidden="false" customHeight="true" outlineLevel="0" collapsed="false">
      <c r="A18" s="7" t="n">
        <f aca="false">'SCORE CALC'!A18</f>
        <v>17</v>
      </c>
      <c r="B18" s="12" t="str">
        <f aca="false">TRIM(LEFT(CONFIG!B18,FIND(" - ",CONFIG!B18)-1))</f>
        <v>TMF Indonesia</v>
      </c>
      <c r="C18" s="12" t="str">
        <f aca="false">TRIM(MID(CONFIG!B18,FIND(" - ",CONFIG!B18)+3,255))</f>
        <v>Payroll</v>
      </c>
      <c r="D18" s="7" t="str">
        <f aca="false">CONFIG!C18</f>
        <v>enung.haryati@axa-mandiri.co.id</v>
      </c>
      <c r="E18" s="13" t="n">
        <f aca="false">'SCORE CALC'!G18</f>
        <v>3</v>
      </c>
      <c r="F18" s="7" t="str">
        <f aca="false">'SCORE CALC'!H18</f>
        <v>Meet Expectation</v>
      </c>
      <c r="G18" s="12" t="str">
        <f aca="true">INDIRECT("'"&amp;CONFIG!D18&amp;"'!"&amp;CONFIG!K18&amp;'SCORE CALC'!C18)</f>
        <v>Always check and recheck the task in internal PIC TMF before send the report to AMFS PIC </v>
      </c>
      <c r="H18" s="12" t="str">
        <f aca="true">"Financial Assessment: "&amp;INDIRECT("'"&amp;CONFIG!D18&amp;"'!"&amp;CONFIG!L18&amp;'SCORE CALC'!C18)&amp;CHAR(10)&amp;"Reputational Assessment: "&amp;INDIRECT("'"&amp;CONFIG!D18&amp;"'!"&amp;CONFIG!M18&amp;'SCORE CALC'!C18)&amp;CHAR(10)&amp;"DPIA: "&amp;INDIRECT("'"&amp;CONFIG!D18&amp;"'!"&amp;CONFIG!N18&amp;'SCORE CALC'!C18)&amp;CHAR(10)&amp;"DPSQ: "&amp;INDIRECT("'"&amp;CONFIG!D18&amp;"'!"&amp;CONFIG!O18&amp;'SCORE CALC'!C18)&amp;CHAR(10)&amp;"VSDDT: "&amp;INDIRECT("'"&amp;CONFIG!D18&amp;"'!"&amp;CONFIG!P18&amp;'SCORE CALC'!C18)&amp;CHAR(10)&amp;"Action Plan: "&amp;INDIRECT("'"&amp;CONFIG!D18&amp;"'!"&amp;CONFIG!Q18&amp;'SCORE CALC'!C18)</f>
        <v>Financial Assessment: 
Reputational Assessment: 
DPIA: 
DPSQ: 
VSDDT: 
Action Plan: </v>
      </c>
      <c r="I18" s="8"/>
      <c r="J18" s="8"/>
      <c r="K18" s="14" t="str">
        <f aca="false">IF(OR(F18="Below Expectation",F18="Unsatisfactory"),B18&amp;" - "&amp;C18,"")</f>
        <v/>
      </c>
    </row>
    <row r="19" customFormat="false" ht="60" hidden="false" customHeight="true" outlineLevel="0" collapsed="false">
      <c r="A19" s="7" t="n">
        <f aca="false">'SCORE CALC'!A19</f>
        <v>18</v>
      </c>
      <c r="B19" s="12" t="str">
        <f aca="false">TRIM(LEFT(CONFIG!B19,FIND(" - ",CONFIG!B19)-1))</f>
        <v>Karya Putra Surya Gemilang</v>
      </c>
      <c r="C19" s="12" t="str">
        <f aca="false">TRIM(MID(CONFIG!B19,FIND(" - ",CONFIG!B19)+3,255))</f>
        <v>Telemarketing Revamp Project</v>
      </c>
      <c r="D19" s="7" t="str">
        <f aca="false">CONFIG!C19</f>
        <v>reza.resdilana@axa-mandiri.co.id</v>
      </c>
      <c r="E19" s="13" t="n">
        <f aca="false">'SCORE CALC'!G19</f>
        <v>3.03181818181818</v>
      </c>
      <c r="F19" s="7" t="str">
        <f aca="false">'SCORE CALC'!H19</f>
        <v>Meet Expectation</v>
      </c>
      <c r="G19" s="12" t="str">
        <f aca="true">INDIRECT("'"&amp;CONFIG!D19&amp;"'!"&amp;CONFIG!K19&amp;'SCORE CALC'!C19)</f>
        <v>Diharapkan untuk tim project yang diassign apabila CR sudah di signoff agar availibility dari resource ready</v>
      </c>
      <c r="H19" s="12" t="str">
        <f aca="true">"Financial Assessment: "&amp;INDIRECT("'"&amp;CONFIG!D19&amp;"'!"&amp;CONFIG!L19&amp;'SCORE CALC'!C19)&amp;CHAR(10)&amp;"Reputational Assessment: "&amp;INDIRECT("'"&amp;CONFIG!D19&amp;"'!"&amp;CONFIG!M19&amp;'SCORE CALC'!C19)&amp;CHAR(10)&amp;"DPIA: "&amp;INDIRECT("'"&amp;CONFIG!D19&amp;"'!"&amp;CONFIG!N19&amp;'SCORE CALC'!C19)&amp;CHAR(10)&amp;"DPSQ: "&amp;INDIRECT("'"&amp;CONFIG!D19&amp;"'!"&amp;CONFIG!O19&amp;'SCORE CALC'!C19)&amp;CHAR(10)&amp;"VSDDT: "&amp;INDIRECT("'"&amp;CONFIG!D19&amp;"'!"&amp;CONFIG!P19&amp;'SCORE CALC'!C19)&amp;CHAR(10)&amp;"Action Plan: "&amp;INDIRECT("'"&amp;CONFIG!D19&amp;"'!"&amp;CONFIG!Q19&amp;'SCORE CALC'!C19)</f>
        <v>Financial Assessment: Yes
Reputational Assessment: Yes
DPIA: Required – DPIA completed and approved
DPSQ: Required – DPSQ not yet completed or approved
VSDDT: Required – VSDDT completed and approved
Action Plan: Yes – All action items have been completed and coordinated with relevant SME</v>
      </c>
      <c r="I19" s="8"/>
      <c r="J19" s="8"/>
      <c r="K19" s="14" t="str">
        <f aca="false">IF(OR(F19="Below Expectation",F19="Unsatisfactory"),B19&amp;" - "&amp;C19,"")</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45"/>
  </cols>
  <sheetData>
    <row r="1" customFormat="false" ht="17.35" hidden="false" customHeight="false" outlineLevel="0" collapsed="false">
      <c r="A1" s="15" t="s">
        <v>169</v>
      </c>
      <c r="B1" s="15"/>
    </row>
    <row r="2" customFormat="false" ht="15" hidden="false" customHeight="false" outlineLevel="0" collapsed="false">
      <c r="A2" s="16" t="s">
        <v>170</v>
      </c>
      <c r="B2" s="17" t="s">
        <v>171</v>
      </c>
    </row>
    <row r="3" customFormat="false" ht="15" hidden="false" customHeight="false" outlineLevel="0" collapsed="false">
      <c r="A3" s="16" t="s">
        <v>172</v>
      </c>
      <c r="B3" s="17" t="n">
        <f aca="false">COUNTA(RESULT!B2:B19)</f>
        <v>18</v>
      </c>
    </row>
    <row r="4" customFormat="false" ht="15" hidden="false" customHeight="false" outlineLevel="0" collapsed="false">
      <c r="A4" s="16" t="s">
        <v>173</v>
      </c>
      <c r="B4" s="18" t="n">
        <v>19</v>
      </c>
    </row>
    <row r="5" customFormat="false" ht="15" hidden="false" customHeight="false" outlineLevel="0" collapsed="false">
      <c r="A5" s="16" t="s">
        <v>174</v>
      </c>
      <c r="B5" s="19" t="n">
        <f aca="false">B3/B4</f>
        <v>0.947368421052632</v>
      </c>
    </row>
    <row r="6" customFormat="false" ht="15" hidden="false" customHeight="false" outlineLevel="0" collapsed="false">
      <c r="A6" s="16" t="s">
        <v>175</v>
      </c>
      <c r="B6" s="17" t="n">
        <f aca="false">SUMPRODUCT(--(RESULT!F2:F19&lt;&gt;"Below Expectation"))-SUMPRODUCT(--(RESULT!F2:F19="Unsatisfactory"))</f>
        <v>17</v>
      </c>
    </row>
    <row r="7" customFormat="false" ht="15" hidden="false" customHeight="false" outlineLevel="0" collapsed="false">
      <c r="A7" s="16" t="s">
        <v>176</v>
      </c>
      <c r="B7" s="17" t="n">
        <f aca="false">COUNTIF(RESULT!F2:F19,"Below Expectation")+COUNTIF(RESULT!F2:F19,"Unsatisfactory")</f>
        <v>1</v>
      </c>
    </row>
    <row r="8" customFormat="false" ht="26.85" hidden="false" customHeight="false" outlineLevel="0" collapsed="false">
      <c r="A8" s="16" t="s">
        <v>177</v>
      </c>
      <c r="B8" s="20" t="str">
        <f aca="false">_xlfn.TEXTJOIN(", ",TRUE(),RESULT!K2:K19)</f>
        <v>Arah Sejahtera Abadi - Perjanjian Sewa Menyewa</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A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45"/>
    <col collapsed="false" customWidth="true" hidden="false" outlineLevel="0" max="2" min="2" style="0" width="33.27"/>
    <col collapsed="false" customWidth="true" hidden="false" outlineLevel="0" max="3" min="3" style="0" width="10.45"/>
    <col collapsed="false" customWidth="true" hidden="false" outlineLevel="0" max="4" min="4" style="0" width="4.54"/>
    <col collapsed="false" customWidth="true" hidden="false" outlineLevel="0" max="5" min="5" style="0" width="13.82"/>
    <col collapsed="false" customWidth="true" hidden="false" outlineLevel="0" max="6" min="6" style="0" width="4.54"/>
    <col collapsed="false" customWidth="true" hidden="false" outlineLevel="0" max="7" min="7" style="0" width="13.82"/>
    <col collapsed="false" customWidth="true" hidden="false" outlineLevel="0" max="8" min="8" style="0" width="4.54"/>
    <col collapsed="false" customWidth="true" hidden="false" outlineLevel="0" max="9" min="9" style="0" width="13.82"/>
    <col collapsed="false" customWidth="true" hidden="false" outlineLevel="0" max="10" min="10" style="0" width="13.54"/>
    <col collapsed="false" customWidth="true" hidden="false" outlineLevel="0" max="11" min="11" style="0" width="6.82"/>
    <col collapsed="false" customWidth="true" hidden="false" outlineLevel="0" max="12" min="12" style="0" width="30.82"/>
    <col collapsed="false" customWidth="true" hidden="false" outlineLevel="0" max="13" min="13" style="0" width="17.54"/>
    <col collapsed="false" customWidth="true" hidden="false" outlineLevel="0" max="14" min="14" style="0" width="6.73"/>
    <col collapsed="false" customWidth="true" hidden="false" outlineLevel="0" max="15" min="15" style="0" width="38.54"/>
    <col collapsed="false" customWidth="true" hidden="false" outlineLevel="0" max="16" min="16" style="0" width="15.73"/>
    <col collapsed="false" customWidth="true" hidden="false" outlineLevel="0" max="17" min="17" style="0" width="6.82"/>
    <col collapsed="false" customWidth="true" hidden="false" outlineLevel="0" max="18" min="18" style="0" width="48.45"/>
    <col collapsed="false" customWidth="true" hidden="false" outlineLevel="0" max="19" min="19" style="0" width="15.73"/>
    <col collapsed="false" customWidth="true" hidden="false" outlineLevel="0" max="20" min="20" style="0" width="14.27"/>
    <col collapsed="false" customWidth="true" hidden="false" outlineLevel="0" max="21" min="21" style="0" width="50.54"/>
    <col collapsed="false" customWidth="true" hidden="false" outlineLevel="0" max="22" min="22" style="0" width="12.54"/>
    <col collapsed="false" customWidth="true" hidden="false" outlineLevel="0" max="23" min="23" style="0" width="28.82"/>
    <col collapsed="false" customWidth="true" hidden="false" outlineLevel="0" max="24" min="24" style="0" width="19.54"/>
    <col collapsed="false" customWidth="true" hidden="false" outlineLevel="0" max="26" min="26" style="0" width="30.18"/>
    <col collapsed="false" customWidth="true" hidden="false" outlineLevel="0" max="27" min="27" style="0" width="18.82"/>
  </cols>
  <sheetData>
    <row r="1" customFormat="false" ht="15" hidden="false" customHeight="false" outlineLevel="0" collapsed="false">
      <c r="A1" s="21" t="s">
        <v>178</v>
      </c>
      <c r="B1" s="21" t="s">
        <v>179</v>
      </c>
      <c r="C1" s="22" t="n">
        <v>2024</v>
      </c>
      <c r="D1" s="22"/>
      <c r="E1" s="22"/>
      <c r="F1" s="22"/>
      <c r="G1" s="22"/>
      <c r="H1" s="22"/>
      <c r="I1" s="22"/>
      <c r="J1" s="22"/>
      <c r="K1" s="22" t="n">
        <v>2025</v>
      </c>
      <c r="L1" s="22"/>
      <c r="M1" s="22"/>
      <c r="N1" s="22"/>
      <c r="O1" s="22"/>
      <c r="P1" s="22"/>
      <c r="Q1" s="22"/>
      <c r="R1" s="22"/>
      <c r="S1" s="22"/>
      <c r="T1" s="22"/>
      <c r="U1" s="22"/>
      <c r="V1" s="22"/>
      <c r="W1" s="22"/>
      <c r="X1" s="22"/>
      <c r="Y1" s="22" t="n">
        <v>2026</v>
      </c>
      <c r="Z1" s="22"/>
      <c r="AA1" s="22"/>
    </row>
    <row r="2" customFormat="false" ht="15" hidden="false" customHeight="false" outlineLevel="0" collapsed="false">
      <c r="A2" s="21"/>
      <c r="B2" s="21"/>
      <c r="C2" s="21" t="s">
        <v>180</v>
      </c>
      <c r="D2" s="21"/>
      <c r="E2" s="21" t="s">
        <v>181</v>
      </c>
      <c r="F2" s="21"/>
      <c r="G2" s="21" t="s">
        <v>182</v>
      </c>
      <c r="H2" s="21"/>
      <c r="I2" s="21" t="s">
        <v>183</v>
      </c>
      <c r="J2" s="21"/>
      <c r="K2" s="22" t="s">
        <v>180</v>
      </c>
      <c r="L2" s="22"/>
      <c r="M2" s="22"/>
      <c r="N2" s="22" t="s">
        <v>181</v>
      </c>
      <c r="O2" s="22"/>
      <c r="P2" s="22"/>
      <c r="Q2" s="22" t="s">
        <v>182</v>
      </c>
      <c r="R2" s="22"/>
      <c r="S2" s="22"/>
      <c r="T2" s="21" t="s">
        <v>184</v>
      </c>
      <c r="U2" s="21" t="s">
        <v>185</v>
      </c>
      <c r="V2" s="22" t="s">
        <v>183</v>
      </c>
      <c r="W2" s="22"/>
      <c r="X2" s="22"/>
      <c r="Y2" s="22" t="s">
        <v>180</v>
      </c>
      <c r="Z2" s="22"/>
      <c r="AA2" s="22"/>
    </row>
    <row r="3" customFormat="false" ht="15" hidden="false" customHeight="false" outlineLevel="0" collapsed="false">
      <c r="A3" s="21"/>
      <c r="B3" s="21"/>
      <c r="K3" s="0" t="s">
        <v>186</v>
      </c>
      <c r="L3" s="0" t="s">
        <v>187</v>
      </c>
      <c r="M3" s="0" t="s">
        <v>185</v>
      </c>
      <c r="N3" s="0" t="s">
        <v>186</v>
      </c>
      <c r="O3" s="0" t="s">
        <v>187</v>
      </c>
      <c r="P3" s="0" t="s">
        <v>185</v>
      </c>
      <c r="Q3" s="0" t="s">
        <v>186</v>
      </c>
      <c r="R3" s="0" t="s">
        <v>187</v>
      </c>
      <c r="S3" s="0" t="s">
        <v>185</v>
      </c>
      <c r="T3" s="21"/>
      <c r="U3" s="21"/>
      <c r="V3" s="0" t="s">
        <v>186</v>
      </c>
      <c r="W3" s="0" t="s">
        <v>187</v>
      </c>
      <c r="X3" s="0" t="s">
        <v>185</v>
      </c>
      <c r="Y3" s="0" t="s">
        <v>186</v>
      </c>
      <c r="Z3" s="0" t="s">
        <v>187</v>
      </c>
      <c r="AA3" s="0" t="s">
        <v>185</v>
      </c>
    </row>
    <row r="4" customFormat="false" ht="55.2" hidden="false" customHeight="false" outlineLevel="0" collapsed="false">
      <c r="A4" s="0" t="s">
        <v>188</v>
      </c>
      <c r="B4" s="0" t="s">
        <v>189</v>
      </c>
      <c r="C4" s="0" t="n">
        <v>3</v>
      </c>
      <c r="D4" s="0" t="str">
        <f aca="false">IF(C4&gt;4.99,"Exceptional",IF(C4&gt;3.99,"Exceed Expectation",IF(C4&gt;=2.99,"Meet Expectation",IF(C4&gt;1.9,"Below Expectation","Unsatisfactory"))))</f>
        <v>Meet Expectation</v>
      </c>
      <c r="E4" s="0" t="n">
        <v>3</v>
      </c>
      <c r="F4" s="0" t="str">
        <f aca="false">IF(E4&gt;4.99,"Exceptional",IF(E4&gt;3.99,"Exceed Expectation",IF(E4&gt;=2.99,"Meet Expectation",IF(E4&gt;1.9,"Below Expectation","Unsatisfactory"))))</f>
        <v>Meet Expectation</v>
      </c>
      <c r="G4" s="0" t="n">
        <v>2.95</v>
      </c>
      <c r="H4" s="0" t="str">
        <f aca="false">IF(G4&gt;4.99,"Exceptional",IF(G4&gt;3.99,"Exceed Expectation",IF(G4&gt;=2.99,"Meet Expectation",IF(G4&gt;1.9,"Below Expectation","Unsatisfactory"))))</f>
        <v>Below Expectation</v>
      </c>
      <c r="I4" s="0" t="n">
        <v>3</v>
      </c>
      <c r="J4" s="0" t="str">
        <f aca="false">IF(I4&gt;4.99,"Exceptional",IF(I4&gt;3.9,"Exceed Expectation",IF(I4&gt;=2.99,"Meet Expectation",IF(I4&gt;1.9,"Below Expectation","Unsatisfactory"))))</f>
        <v>Meet Expectation</v>
      </c>
      <c r="K4" s="0" t="n">
        <v>2.345</v>
      </c>
      <c r="L4" s="0" t="s">
        <v>190</v>
      </c>
      <c r="M4" s="0" t="str">
        <f aca="false">IF(K4&gt;4.99,"Exceptional",IF(K4&gt;3.9,"Exceed Expectation",IF(K4&gt;=2.99,"Meet Expectation",IF(K4&gt;1.9,"Below Expectation","Unsatisfactory"))))</f>
        <v>Below Expectation</v>
      </c>
      <c r="N4" s="0" t="n">
        <v>1.99</v>
      </c>
      <c r="O4" s="23" t="s">
        <v>191</v>
      </c>
      <c r="P4" s="0" t="str">
        <f aca="false">IF(N4&gt;4.99,"Exceptional",IF(N4&gt;3.9,"Exceed Expectation",IF(N4&gt;=2.99,"Meet Expectation",IF(N4&gt;1.9,"Below Expectation","Unsatisfactory"))))</f>
        <v>Below Expectation</v>
      </c>
      <c r="Q4" s="0" t="n">
        <v>2.72</v>
      </c>
      <c r="R4" s="0" t="s">
        <v>192</v>
      </c>
      <c r="S4" s="0" t="s">
        <v>193</v>
      </c>
      <c r="T4" s="0" t="s">
        <v>194</v>
      </c>
      <c r="U4" s="0" t="s">
        <v>195</v>
      </c>
      <c r="V4" s="0" t="n">
        <v>2.9825</v>
      </c>
      <c r="W4" s="0" t="s">
        <v>196</v>
      </c>
      <c r="X4" s="0" t="s">
        <v>197</v>
      </c>
      <c r="Y4" s="24" t="n">
        <f aca="false">RESULT!E9</f>
        <v>3.31842105263158</v>
      </c>
      <c r="Z4" s="0" t="str">
        <f aca="false">RESULT!G9</f>
        <v>The performance is getting better, please keep improve the performance.</v>
      </c>
      <c r="AA4" s="0" t="str">
        <f aca="false">IF(Y4&gt;4.99,"Exceptional",IF(Y4&gt;3.99,"Exceed Expectation",IF(Y4&gt;=2.99,"Meet Expectation",IF(Y4&gt;1.9,"Below Expectation","Unsatisfactory"))))</f>
        <v>Meet Expectation</v>
      </c>
    </row>
    <row r="5" customFormat="false" ht="15" hidden="false" customHeight="false" outlineLevel="0" collapsed="false">
      <c r="A5" s="0" t="s">
        <v>198</v>
      </c>
      <c r="B5" s="0" t="s">
        <v>199</v>
      </c>
      <c r="C5" s="0" t="n">
        <v>3.78</v>
      </c>
      <c r="D5" s="0" t="str">
        <f aca="false">IF(C5&gt;4.99,"Exceptional",IF(C5&gt;3.99,"Exceed Expectation",IF(C5&gt;=2.99,"Meet Expectation",IF(C5&gt;1.9,"Below Expectation","Unsatisfactory"))))</f>
        <v>Meet Expectation</v>
      </c>
      <c r="E5" s="0" t="n">
        <v>4.21</v>
      </c>
      <c r="F5" s="0" t="str">
        <f aca="false">IF(E5&gt;4.99,"Exceptional",IF(E5&gt;3.99,"Exceed Expectation",IF(E5&gt;=2.99,"Meet Expectation",IF(E5&gt;1.9,"Below Expectation","Unsatisfactory"))))</f>
        <v>Exceed Expectation</v>
      </c>
      <c r="G5" s="0" t="n">
        <v>3</v>
      </c>
      <c r="H5" s="0" t="str">
        <f aca="false">IF(G5&gt;4.99,"Exceptional",IF(G5&gt;3.99,"Exceed Expectation",IF(G5&gt;=2.99,"Meet Expectation",IF(G5&gt;1.9,"Below Expectation","Unsatisfactory"))))</f>
        <v>Meet Expectation</v>
      </c>
      <c r="I5" s="0" t="n">
        <v>3</v>
      </c>
      <c r="J5" s="0" t="str">
        <f aca="false">IF(I5&gt;4.99,"Exceptional",IF(I5&gt;3.9,"Exceed Expectation",IF(I5&gt;=2.99,"Meet Expectation",IF(I5&gt;1.9,"Below Expectation","Unsatisfactory"))))</f>
        <v>Meet Expectation</v>
      </c>
      <c r="K5" s="0" t="n">
        <v>3</v>
      </c>
      <c r="L5" s="0" t="s">
        <v>200</v>
      </c>
      <c r="M5" s="0" t="str">
        <f aca="false">IF(K5&gt;4.99,"Exceptional",IF(K5&gt;3.9,"Exceed Expectation",IF(K5&gt;=2.99,"Meet Expectation",IF(K5&gt;1.9,"Below Expectation","Unsatisfactory"))))</f>
        <v>Meet Expectation</v>
      </c>
      <c r="N5" s="0" t="n">
        <v>3</v>
      </c>
      <c r="O5" s="0" t="s">
        <v>201</v>
      </c>
      <c r="P5" s="0" t="str">
        <f aca="false">IF(N5&gt;4.99,"Exceptional",IF(N5&gt;3.9,"Exceed Expectation",IF(N5&gt;=2.99,"Meet Expectation",IF(N5&gt;1.9,"Below Expectation","Unsatisfactory"))))</f>
        <v>Meet Expectation</v>
      </c>
      <c r="Q5" s="0" t="n">
        <v>3</v>
      </c>
      <c r="R5" s="0" t="s">
        <v>202</v>
      </c>
      <c r="S5" s="0" t="s">
        <v>203</v>
      </c>
      <c r="T5" s="0" t="s">
        <v>204</v>
      </c>
      <c r="U5" s="0" t="s">
        <v>205</v>
      </c>
      <c r="V5" s="0" t="n">
        <v>3.08181818181818</v>
      </c>
      <c r="W5" s="0" t="s">
        <v>206</v>
      </c>
      <c r="X5" s="0" t="s">
        <v>207</v>
      </c>
      <c r="Y5" s="24" t="n">
        <f aca="false">RESULT!E6</f>
        <v>3</v>
      </c>
      <c r="Z5" s="0" t="str">
        <f aca="false">RESULT!G6</f>
        <v>Jatis has provided good service throughout this year</v>
      </c>
      <c r="AA5" s="0" t="str">
        <f aca="false">IF(Y5&gt;4.99,"Exceptional",IF(Y5&gt;3.99,"Exceed Expectation",IF(Y5&gt;=2.99,"Meet Expectation",IF(Y5&gt;1.9,"Below Expectation","Unsatisfactory"))))</f>
        <v>Meet Expectation</v>
      </c>
    </row>
    <row r="6" customFormat="false" ht="15" hidden="false" customHeight="false" outlineLevel="0" collapsed="false">
      <c r="A6" s="0" t="s">
        <v>208</v>
      </c>
      <c r="B6" s="0" t="s">
        <v>209</v>
      </c>
      <c r="C6" s="0" t="n">
        <v>3</v>
      </c>
      <c r="D6" s="0" t="str">
        <f aca="false">IF(C6&gt;4.99,"Exceptional",IF(C6&gt;3.99,"Exceed Expectation",IF(C6&gt;=2.99,"Meet Expectation",IF(C6&gt;1.9,"Below Expectation","Unsatisfactory"))))</f>
        <v>Meet Expectation</v>
      </c>
      <c r="E6" s="0" t="n">
        <v>3</v>
      </c>
      <c r="F6" s="0" t="str">
        <f aca="false">IF(E6&gt;4.99,"Exceptional",IF(E6&gt;3.99,"Exceed Expectation",IF(E6&gt;=2.99,"Meet Expectation",IF(E6&gt;1.9,"Below Expectation","Unsatisfactory"))))</f>
        <v>Meet Expectation</v>
      </c>
      <c r="G6" s="0" t="n">
        <v>3.96</v>
      </c>
      <c r="H6" s="0" t="str">
        <f aca="false">IF(G6&gt;4.99,"Exceptional",IF(G6&gt;3.99,"Exceed Expectation",IF(G6&gt;=2.99,"Meet Expectation",IF(G6&gt;1.9,"Below Expectation","Unsatisfactory"))))</f>
        <v>Meet Expectation</v>
      </c>
      <c r="I6" s="0" t="n">
        <v>3.65</v>
      </c>
      <c r="J6" s="0" t="str">
        <f aca="false">IF(I6&gt;4.99,"Exceptional",IF(I6&gt;3.9,"Exceed Expectation",IF(I6&gt;=2.99,"Meet Expectation",IF(I6&gt;1.9,"Below Expectation","Unsatisfactory"))))</f>
        <v>Meet Expectation</v>
      </c>
      <c r="K6" s="0" t="n">
        <v>3</v>
      </c>
      <c r="L6" s="0" t="n">
        <v>0</v>
      </c>
      <c r="M6" s="0" t="str">
        <f aca="false">IF(K6&gt;4.99,"Exceptional",IF(K6&gt;3.9,"Exceed Expectation",IF(K6&gt;=2.99,"Meet Expectation",IF(K6&gt;1.9,"Below Expectation","Unsatisfactory"))))</f>
        <v>Meet Expectation</v>
      </c>
      <c r="N6" s="0" t="n">
        <v>4.41666666666667</v>
      </c>
      <c r="O6" s="0" t="s">
        <v>210</v>
      </c>
      <c r="P6" s="0" t="str">
        <f aca="false">IF(N6&gt;4.99,"Exceptional",IF(N6&gt;3.9,"Exceed Expectation",IF(N6&gt;=2.99,"Meet Expectation",IF(N6&gt;1.9,"Below Expectation","Unsatisfactory"))))</f>
        <v>Exceed Expectation</v>
      </c>
      <c r="Q6" s="0" t="n">
        <v>4.35384615384615</v>
      </c>
      <c r="R6" s="0" t="s">
        <v>211</v>
      </c>
      <c r="S6" s="0" t="s">
        <v>212</v>
      </c>
      <c r="T6" s="0" t="s">
        <v>204</v>
      </c>
      <c r="U6" s="0" t="s">
        <v>205</v>
      </c>
      <c r="V6" s="0" t="n">
        <v>4.27307692307692</v>
      </c>
      <c r="W6" s="0" t="s">
        <v>213</v>
      </c>
      <c r="X6" s="0" t="s">
        <v>214</v>
      </c>
      <c r="Y6" s="24" t="n">
        <f aca="false">RESULT!E13</f>
        <v>4.82948717948718</v>
      </c>
      <c r="Z6" s="0" t="str">
        <f aca="false">RESULT!G13</f>
        <v>verall, the level of support has been satisfactory. The improvements carried out were highly effective, and several demands were consistent with the initial assessment and expectations.</v>
      </c>
      <c r="AA6" s="0" t="str">
        <f aca="false">IF(Y6&gt;4.99,"Exceptional",IF(Y6&gt;3.99,"Exceed Expectation",IF(Y6&gt;=2.99,"Meet Expectation",IF(Y6&gt;1.9,"Below Expectation","Unsatisfactory"))))</f>
        <v>Exceed Expectation</v>
      </c>
    </row>
    <row r="7" customFormat="false" ht="15" hidden="false" customHeight="false" outlineLevel="0" collapsed="false">
      <c r="A7" s="0" t="s">
        <v>215</v>
      </c>
      <c r="B7" s="0" t="s">
        <v>216</v>
      </c>
      <c r="C7" s="0" t="n">
        <v>3</v>
      </c>
      <c r="D7" s="0" t="str">
        <f aca="false">IF(C7&gt;4.99,"Exceptional",IF(C7&gt;3.99,"Exceed Expectation",IF(C7&gt;=2.99,"Meet Expectation",IF(C7&gt;1.9,"Below Expectation","Unsatisfactory"))))</f>
        <v>Meet Expectation</v>
      </c>
      <c r="E7" s="0" t="n">
        <v>4</v>
      </c>
      <c r="F7" s="0" t="str">
        <f aca="false">IF(E7&gt;4.99,"Exceptional",IF(E7&gt;3.99,"Exceed Expectation",IF(E7&gt;=2.99,"Meet Expectation",IF(E7&gt;1.9,"Below Expectation","Unsatisfactory"))))</f>
        <v>Exceed Expectation</v>
      </c>
      <c r="G7" s="0" t="n">
        <v>4</v>
      </c>
      <c r="H7" s="0" t="str">
        <f aca="false">IF(G7&gt;4.99,"Exceptional",IF(G7&gt;3.99,"Exceed Expectation",IF(G7&gt;=2.99,"Meet Expectation",IF(G7&gt;1.9,"Below Expectation","Unsatisfactory"))))</f>
        <v>Exceed Expectation</v>
      </c>
      <c r="I7" s="0" t="n">
        <v>3.65</v>
      </c>
      <c r="J7" s="0" t="str">
        <f aca="false">IF(I7&gt;4.99,"Exceptional",IF(I7&gt;3.9,"Exceed Expectation",IF(I7&gt;=2.99,"Meet Expectation",IF(I7&gt;1.9,"Below Expectation","Unsatisfactory"))))</f>
        <v>Meet Expectation</v>
      </c>
      <c r="K7" s="0" t="n">
        <v>3</v>
      </c>
      <c r="L7" s="0" t="s">
        <v>205</v>
      </c>
      <c r="M7" s="0" t="str">
        <f aca="false">IF(K7&gt;4.99,"Exceptional",IF(K7&gt;3.9,"Exceed Expectation",IF(K7&gt;=2.99,"Meet Expectation",IF(K7&gt;1.9,"Below Expectation","Unsatisfactory"))))</f>
        <v>Meet Expectation</v>
      </c>
      <c r="N7" s="0" t="n">
        <v>3</v>
      </c>
      <c r="O7" s="0" t="s">
        <v>217</v>
      </c>
      <c r="P7" s="0" t="str">
        <f aca="false">IF(N7&gt;4.99,"Exceptional",IF(N7&gt;3.9,"Exceed Expectation",IF(N7&gt;=2.99,"Meet Expectation",IF(N7&gt;1.9,"Below Expectation","Unsatisfactory"))))</f>
        <v>Meet Expectation</v>
      </c>
      <c r="Q7" s="0" t="n">
        <v>3.9125</v>
      </c>
      <c r="R7" s="0" t="s">
        <v>218</v>
      </c>
      <c r="S7" s="0" t="s">
        <v>212</v>
      </c>
      <c r="T7" s="0" t="s">
        <v>204</v>
      </c>
      <c r="U7" s="0" t="s">
        <v>205</v>
      </c>
      <c r="V7" s="0" t="n">
        <v>3.06931818181818</v>
      </c>
      <c r="W7" s="0" t="s">
        <v>219</v>
      </c>
      <c r="X7" s="0" t="s">
        <v>207</v>
      </c>
      <c r="Y7" s="24" t="n">
        <f aca="false">RESULT!E8</f>
        <v>3.03181818181818</v>
      </c>
      <c r="Z7" s="0" t="str">
        <f aca="false">RESULT!G8</f>
        <v>impprove innovation dan simplyfy process</v>
      </c>
      <c r="AA7" s="0" t="str">
        <f aca="false">IF(Y7&gt;4.99,"Exceptional",IF(Y7&gt;3.99,"Exceed Expectation",IF(Y7&gt;=2.99,"Meet Expectation",IF(Y7&gt;1.9,"Below Expectation","Unsatisfactory"))))</f>
        <v>Meet Expectation</v>
      </c>
    </row>
    <row r="8" customFormat="false" ht="28.35" hidden="false" customHeight="false" outlineLevel="0" collapsed="false">
      <c r="A8" s="0" t="s">
        <v>220</v>
      </c>
      <c r="B8" s="0" t="s">
        <v>221</v>
      </c>
      <c r="C8" s="0" t="n">
        <v>4.9</v>
      </c>
      <c r="D8" s="0" t="str">
        <f aca="false">IF(C8&gt;4.99,"Exceptional",IF(C8&gt;3.99,"Exceed Expectation",IF(C8&gt;=2.99,"Meet Expectation",IF(C8&gt;1.9,"Below Expectation","Unsatisfactory"))))</f>
        <v>Exceed Expectation</v>
      </c>
      <c r="E8" s="0" t="n">
        <v>4.73</v>
      </c>
      <c r="F8" s="0" t="str">
        <f aca="false">IF(E8&gt;4.99,"Exceptional",IF(E8&gt;3.99,"Exceed Expectation",IF(E8&gt;=2.99,"Meet Expectation",IF(E8&gt;1.9,"Below Expectation","Unsatisfactory"))))</f>
        <v>Exceed Expectation</v>
      </c>
      <c r="G8" s="0" t="n">
        <v>3.38</v>
      </c>
      <c r="H8" s="0" t="str">
        <f aca="false">IF(G8&gt;4.99,"Exceptional",IF(G8&gt;3.99,"Exceed Expectation",IF(G8&gt;=2.99,"Meet Expectation",IF(G8&gt;1.9,"Below Expectation","Unsatisfactory"))))</f>
        <v>Meet Expectation</v>
      </c>
      <c r="I8" s="0" t="n">
        <v>3</v>
      </c>
      <c r="J8" s="0" t="str">
        <f aca="false">IF(I8&gt;4.99,"Exceptional",IF(I8&gt;3.9,"Exceed Expectation",IF(I8&gt;=2.99,"Meet Expectation",IF(I8&gt;1.9,"Below Expectation","Unsatisfactory"))))</f>
        <v>Meet Expectation</v>
      </c>
      <c r="K8" s="0" t="n">
        <v>3.975</v>
      </c>
      <c r="L8" s="0" t="s">
        <v>222</v>
      </c>
      <c r="M8" s="0" t="str">
        <f aca="false">IF(K8&gt;4.99,"Exceptional",IF(K8&gt;3.9,"Exceed Expectation",IF(K8&gt;=2.99,"Meet Expectation",IF(K8&gt;1.9,"Below Expectation","Unsatisfactory"))))</f>
        <v>Exceed Expectation</v>
      </c>
      <c r="N8" s="0" t="n">
        <v>3.675</v>
      </c>
      <c r="O8" s="23" t="s">
        <v>223</v>
      </c>
      <c r="P8" s="0" t="str">
        <f aca="false">IF(N8&gt;4.99,"Exceptional",IF(N8&gt;3.9,"Exceed Expectation",IF(N8&gt;=2.99,"Meet Expectation",IF(N8&gt;1.9,"Below Expectation","Unsatisfactory"))))</f>
        <v>Meet Expectation</v>
      </c>
      <c r="Q8" s="0" t="n">
        <v>3.75</v>
      </c>
      <c r="R8" s="0" t="s">
        <v>205</v>
      </c>
      <c r="S8" s="0" t="s">
        <v>203</v>
      </c>
      <c r="T8" s="0" t="s">
        <v>204</v>
      </c>
      <c r="U8" s="0" t="s">
        <v>205</v>
      </c>
      <c r="V8" s="0" t="n">
        <v>4.2</v>
      </c>
      <c r="W8" s="0" t="s">
        <v>205</v>
      </c>
      <c r="X8" s="0" t="s">
        <v>214</v>
      </c>
      <c r="Y8" s="24" t="n">
        <f aca="false">RESULT!E10</f>
        <v>4</v>
      </c>
      <c r="Z8" s="0" t="str">
        <f aca="false">RESULT!G10</f>
        <v>Performance is Good</v>
      </c>
      <c r="AA8" s="0" t="str">
        <f aca="false">IF(Y8&gt;4.99,"Exceptional",IF(Y8&gt;3.99,"Exceed Expectation",IF(Y8&gt;=2.99,"Meet Expectation",IF(Y8&gt;1.9,"Below Expectation","Unsatisfactory"))))</f>
        <v>Exceed Expectation</v>
      </c>
    </row>
    <row r="9" customFormat="false" ht="28.35" hidden="false" customHeight="false" outlineLevel="0" collapsed="false">
      <c r="A9" s="0" t="s">
        <v>224</v>
      </c>
      <c r="B9" s="0" t="s">
        <v>225</v>
      </c>
      <c r="C9" s="0" t="n">
        <v>3</v>
      </c>
      <c r="D9" s="0" t="str">
        <f aca="false">IF(C9&gt;4.99,"Exceptional",IF(C9&gt;3.99,"Exceed Expectation",IF(C9&gt;=2.99,"Meet Expectation",IF(C9&gt;1.9,"Below Expectation","Unsatisfactory"))))</f>
        <v>Meet Expectation</v>
      </c>
      <c r="E9" s="0" t="n">
        <v>3</v>
      </c>
      <c r="F9" s="0" t="str">
        <f aca="false">IF(E9&gt;4.99,"Exceptional",IF(E9&gt;3.99,"Exceed Expectation",IF(E9&gt;=2.99,"Meet Expectation",IF(E9&gt;1.9,"Below Expectation","Unsatisfactory"))))</f>
        <v>Meet Expectation</v>
      </c>
      <c r="G9" s="0" t="n">
        <v>3.09</v>
      </c>
      <c r="H9" s="0" t="str">
        <f aca="false">IF(G9&gt;4.99,"Exceptional",IF(G9&gt;3.99,"Exceed Expectation",IF(G9&gt;=2.99,"Meet Expectation",IF(G9&gt;1.9,"Below Expectation","Unsatisfactory"))))</f>
        <v>Meet Expectation</v>
      </c>
      <c r="I9" s="0" t="n">
        <v>3</v>
      </c>
      <c r="J9" s="0" t="str">
        <f aca="false">IF(I9&gt;4.99,"Exceptional",IF(I9&gt;3.9,"Exceed Expectation",IF(I9&gt;=2.99,"Meet Expectation",IF(I9&gt;1.9,"Below Expectation","Unsatisfactory"))))</f>
        <v>Meet Expectation</v>
      </c>
      <c r="K9" s="0" t="n">
        <v>2.121875</v>
      </c>
      <c r="L9" s="0" t="s">
        <v>226</v>
      </c>
      <c r="M9" s="0" t="str">
        <f aca="false">IF(K9&gt;4.99,"Exceptional",IF(K9&gt;3.9,"Exceed Expectation",IF(K9&gt;=2.99,"Meet Expectation",IF(K9&gt;1.9,"Below Expectation","Unsatisfactory"))))</f>
        <v>Below Expectation</v>
      </c>
      <c r="N9" s="0" t="n">
        <v>2.9890625</v>
      </c>
      <c r="O9" s="0" t="s">
        <v>227</v>
      </c>
      <c r="P9" s="0" t="str">
        <f aca="false">IF(N9&gt;4.99,"Exceptional",IF(N9&gt;3.9,"Exceed Expectation",IF(N9&gt;=2.99,"Meet Expectation",IF(N9&gt;1.9,"Below Expectation","Unsatisfactory"))))</f>
        <v>Below Expectation</v>
      </c>
      <c r="Q9" s="0" t="n">
        <v>3</v>
      </c>
      <c r="R9" s="0" t="s">
        <v>228</v>
      </c>
      <c r="S9" s="0" t="s">
        <v>203</v>
      </c>
      <c r="T9" s="0" t="s">
        <v>204</v>
      </c>
      <c r="U9" s="0" t="s">
        <v>229</v>
      </c>
      <c r="V9" s="0" t="n">
        <v>3.65</v>
      </c>
      <c r="W9" s="0" t="s">
        <v>205</v>
      </c>
      <c r="X9" s="0" t="s">
        <v>207</v>
      </c>
      <c r="Y9" s="24" t="n">
        <f aca="false">RESULT!E12</f>
        <v>4</v>
      </c>
      <c r="Z9" s="23" t="str">
        <f aca="false">RESULT!G12</f>
        <v>continue performing thorough and frequent periodic checks to ensure that during service hours, there are no issues that could disrupt operations and resolve the remaining unresolved 401 issue
Berikan umpan balik Anda tentang BizChat</v>
      </c>
      <c r="AA9" s="0" t="str">
        <f aca="false">IF(Y9&gt;4.99,"Exceptional",IF(Y9&gt;3.99,"Exceed Expectation",IF(Y9&gt;=2.99,"Meet Expectation",IF(Y9&gt;1.9,"Below Expectation","Unsatisfactory"))))</f>
        <v>Exceed Expectation</v>
      </c>
    </row>
    <row r="10" customFormat="false" ht="41.75" hidden="false" customHeight="false" outlineLevel="0" collapsed="false">
      <c r="A10" s="0" t="s">
        <v>230</v>
      </c>
      <c r="B10" s="0" t="s">
        <v>231</v>
      </c>
      <c r="C10" s="0" t="n">
        <v>3.75</v>
      </c>
      <c r="D10" s="0" t="str">
        <f aca="false">IF(C10&gt;4.99,"Exceptional",IF(C10&gt;3.99,"Exceed Expectation",IF(C10&gt;=2.99,"Meet Expectation",IF(C10&gt;1.9,"Below Expectation","Unsatisfactory"))))</f>
        <v>Meet Expectation</v>
      </c>
      <c r="E10" s="0" t="n">
        <v>3.83</v>
      </c>
      <c r="F10" s="0" t="str">
        <f aca="false">IF(E10&gt;4.99,"Exceptional",IF(E10&gt;3.99,"Exceed Expectation",IF(E10&gt;=2.99,"Meet Expectation",IF(E10&gt;1.9,"Below Expectation","Unsatisfactory"))))</f>
        <v>Meet Expectation</v>
      </c>
      <c r="G10" s="0" t="n">
        <v>2.74</v>
      </c>
      <c r="H10" s="0" t="str">
        <f aca="false">IF(G10&gt;4.99,"Exceptional",IF(G10&gt;3.99,"Exceed Expectation",IF(G10&gt;=2.99,"Meet Expectation",IF(G10&gt;1.9,"Below Expectation","Unsatisfactory"))))</f>
        <v>Below Expectation</v>
      </c>
      <c r="I10" s="0" t="n">
        <v>2.725</v>
      </c>
      <c r="J10" s="0" t="str">
        <f aca="false">IF(I10&gt;4.99,"Exceptional",IF(I10&gt;3.9,"Exceed Expectation",IF(I10&gt;=2.99,"Meet Expectation",IF(I10&gt;1.9,"Below Expectation","Unsatisfactory"))))</f>
        <v>Below Expectation</v>
      </c>
      <c r="K10" s="0" t="n">
        <v>2.86</v>
      </c>
      <c r="L10" s="23" t="s">
        <v>232</v>
      </c>
      <c r="M10" s="0" t="str">
        <f aca="false">IF(K10&gt;4.99,"Exceptional",IF(K10&gt;3.9,"Exceed Expectation",IF(K10&gt;=2.99,"Meet Expectation",IF(K10&gt;1.9,"Below Expectation","Unsatisfactory"))))</f>
        <v>Below Expectation</v>
      </c>
      <c r="N10" s="0" t="n">
        <v>2.61666666666667</v>
      </c>
      <c r="O10" s="23" t="s">
        <v>233</v>
      </c>
      <c r="P10" s="0" t="str">
        <f aca="false">IF(N10&gt;4.99,"Exceptional",IF(N10&gt;3.9,"Exceed Expectation",IF(N10&gt;=2.99,"Meet Expectation",IF(N10&gt;1.9,"Below Expectation","Unsatisfactory"))))</f>
        <v>Below Expectation</v>
      </c>
      <c r="Q10" s="0" t="n">
        <v>2.5</v>
      </c>
      <c r="R10" s="23" t="s">
        <v>234</v>
      </c>
      <c r="S10" s="0" t="s">
        <v>193</v>
      </c>
      <c r="T10" s="0" t="s">
        <v>235</v>
      </c>
      <c r="U10" s="23" t="s">
        <v>236</v>
      </c>
      <c r="V10" s="0" t="n">
        <v>2.96111111111111</v>
      </c>
      <c r="W10" s="0" t="s">
        <v>237</v>
      </c>
      <c r="X10" s="0" t="s">
        <v>197</v>
      </c>
      <c r="Y10" s="24" t="n">
        <f aca="false">RESULT!E7</f>
        <v>3</v>
      </c>
      <c r="Z10" s="0" t="str">
        <f aca="false">RESULT!G7</f>
        <v>SAP has provided excellent service throughout this year</v>
      </c>
      <c r="AA10" s="0" t="str">
        <f aca="false">IF(Y10&gt;4.99,"Exceptional",IF(Y10&gt;3.99,"Exceed Expectation",IF(Y10&gt;=2.99,"Meet Expectation",IF(Y10&gt;1.9,"Below Expectation","Unsatisfactory"))))</f>
        <v>Meet Expectation</v>
      </c>
    </row>
    <row r="11" customFormat="false" ht="15" hidden="false" customHeight="false" outlineLevel="0" collapsed="false">
      <c r="A11" s="0" t="s">
        <v>230</v>
      </c>
      <c r="B11" s="0" t="s">
        <v>238</v>
      </c>
      <c r="C11" s="0" t="s">
        <v>239</v>
      </c>
      <c r="D11" s="0" t="s">
        <v>239</v>
      </c>
      <c r="E11" s="0" t="s">
        <v>239</v>
      </c>
      <c r="F11" s="0" t="s">
        <v>239</v>
      </c>
      <c r="G11" s="0" t="s">
        <v>239</v>
      </c>
      <c r="H11" s="0" t="s">
        <v>239</v>
      </c>
      <c r="I11" s="0" t="s">
        <v>239</v>
      </c>
      <c r="J11" s="0" t="s">
        <v>239</v>
      </c>
      <c r="K11" s="0" t="n">
        <v>3</v>
      </c>
      <c r="L11" s="0" t="s">
        <v>205</v>
      </c>
      <c r="M11" s="0" t="str">
        <f aca="false">IF(K11&gt;4.99,"Exceptional",IF(K11&gt;3.9,"Exceed Expectation",IF(K11&gt;=2.99,"Meet Expectation",IF(K11&gt;1.9,"Below Expectation","Unsatisfactory"))))</f>
        <v>Meet Expectation</v>
      </c>
      <c r="N11" s="0" t="s">
        <v>239</v>
      </c>
      <c r="O11" s="0" t="s">
        <v>239</v>
      </c>
      <c r="P11" s="0" t="s">
        <v>239</v>
      </c>
      <c r="Q11" s="0" t="n">
        <v>3.9125</v>
      </c>
      <c r="R11" s="0" t="s">
        <v>240</v>
      </c>
      <c r="S11" s="0" t="s">
        <v>212</v>
      </c>
      <c r="T11" s="0" t="s">
        <v>204</v>
      </c>
      <c r="U11" s="0" t="s">
        <v>205</v>
      </c>
      <c r="V11" s="0" t="n">
        <v>3.05</v>
      </c>
      <c r="W11" s="0" t="s">
        <v>241</v>
      </c>
      <c r="X11" s="0" t="s">
        <v>207</v>
      </c>
      <c r="Y11" s="24" t="n">
        <f aca="false">RESULT!E5</f>
        <v>3.40416666666667</v>
      </c>
      <c r="Z11" s="0" t="str">
        <f aca="false">RESULT!G5</f>
        <v>Over all mailing ok, please improve coordinated with Headoffice team for reduce complain/misscomm (ex case overseas shipment )</v>
      </c>
      <c r="AA11" s="0" t="str">
        <f aca="false">IF(Y11&gt;4.99,"Exceptional",IF(Y11&gt;3.99,"Exceed Expectation",IF(Y11&gt;=2.99,"Meet Expectation",IF(Y11&gt;1.9,"Below Expectation","Unsatisfactory"))))</f>
        <v>Meet Expectation</v>
      </c>
    </row>
    <row r="12" customFormat="false" ht="15" hidden="false" customHeight="false" outlineLevel="0" collapsed="false">
      <c r="A12" s="0" t="s">
        <v>242</v>
      </c>
      <c r="B12" s="0" t="s">
        <v>243</v>
      </c>
      <c r="C12" s="0" t="n">
        <v>2.85</v>
      </c>
      <c r="D12" s="0" t="str">
        <f aca="false">IF(C12&gt;4.99,"Exceptional",IF(C12&gt;3.99,"Exceed Expectation",IF(C12&gt;=2.99,"Meet Expectation",IF(C12&gt;1.9,"Below Expectation","Unsatisfactory"))))</f>
        <v>Below Expectation</v>
      </c>
      <c r="E12" s="0" t="n">
        <v>3.28</v>
      </c>
      <c r="F12" s="0" t="str">
        <f aca="false">IF(E12&gt;4.99,"Exceptional",IF(E12&gt;3.99,"Exceed Expectation",IF(E12&gt;=2.99,"Meet Expectation",IF(E12&gt;1.9,"Below Expectation","Unsatisfactory"))))</f>
        <v>Meet Expectation</v>
      </c>
      <c r="G12" s="0" t="n">
        <v>4</v>
      </c>
      <c r="H12" s="0" t="str">
        <f aca="false">IF(G12&gt;4.99,"Exceptional",IF(G12&gt;3.99,"Exceed Expectation",IF(G12&gt;=2.99,"Meet Expectation",IF(G12&gt;1.9,"Below Expectation","Unsatisfactory"))))</f>
        <v>Exceed Expectation</v>
      </c>
      <c r="I12" s="0" t="n">
        <v>3.3125</v>
      </c>
      <c r="J12" s="0" t="str">
        <f aca="false">IF(I12&gt;4.99,"Exceptional",IF(I12&gt;3.9,"Exceed Expectation",IF(I12&gt;=2.99,"Meet Expectation",IF(I12&gt;1.9,"Below Expectation","Unsatisfactory"))))</f>
        <v>Meet Expectation</v>
      </c>
      <c r="K12" s="0" t="n">
        <v>3.74444444444444</v>
      </c>
      <c r="L12" s="0" t="s">
        <v>244</v>
      </c>
      <c r="M12" s="0" t="str">
        <f aca="false">IF(K12&gt;4.99,"Exceptional",IF(K12&gt;3.9,"Exceed Expectation",IF(K12&gt;=2.99,"Meet Expectation",IF(K12&gt;1.9,"Below Expectation","Unsatisfactory"))))</f>
        <v>Meet Expectation</v>
      </c>
      <c r="N12" s="0" t="n">
        <v>4</v>
      </c>
      <c r="O12" s="0" t="s">
        <v>245</v>
      </c>
      <c r="P12" s="0" t="str">
        <f aca="false">IF(N12&gt;4.99,"Exceptional",IF(N12&gt;3.9,"Exceed Expectation",IF(N12&gt;=2.99,"Meet Expectation",IF(N12&gt;1.9,"Below Expectation","Unsatisfactory"))))</f>
        <v>Exceed Expectation</v>
      </c>
      <c r="Q12" s="0" t="n">
        <v>3</v>
      </c>
      <c r="R12" s="0" t="s">
        <v>246</v>
      </c>
      <c r="S12" s="0" t="s">
        <v>203</v>
      </c>
      <c r="T12" s="0" t="s">
        <v>204</v>
      </c>
      <c r="U12" s="0" t="s">
        <v>205</v>
      </c>
      <c r="V12" s="0" t="n">
        <v>3.65</v>
      </c>
      <c r="W12" s="0" t="s">
        <v>247</v>
      </c>
      <c r="X12" s="0" t="s">
        <v>207</v>
      </c>
      <c r="Y12" s="24" t="n">
        <f aca="false">RESULT!E11</f>
        <v>3.9</v>
      </c>
      <c r="Z12" s="0" t="str">
        <f aca="false">RESULT!G11</f>
        <v>Harganya buat next contrac please murahin ya</v>
      </c>
      <c r="AA12" s="0" t="str">
        <f aca="false">IF(Y12&gt;4.99,"Exceptional",IF(Y12&gt;3.99,"Exceed Expectation",IF(Y12&gt;=2.99,"Meet Expectation",IF(Y12&gt;1.9,"Below Expectation","Unsatisfactory"))))</f>
        <v>Meet Expectation</v>
      </c>
    </row>
    <row r="13" customFormat="false" ht="15" hidden="false" customHeight="false" outlineLevel="0" collapsed="false">
      <c r="A13" s="0" t="s">
        <v>248</v>
      </c>
      <c r="B13" s="0" t="s">
        <v>249</v>
      </c>
      <c r="C13" s="0" t="n">
        <v>3</v>
      </c>
      <c r="D13" s="0" t="str">
        <f aca="false">IF(C13&gt;4.99,"Exceptional",IF(C13&gt;3.99,"Exceed Expectation",IF(C13&gt;=2.99,"Meet Expectation",IF(C13&gt;1.9,"Below Expectation","Unsatisfactory"))))</f>
        <v>Meet Expectation</v>
      </c>
      <c r="E13" s="0" t="n">
        <v>3.61</v>
      </c>
      <c r="F13" s="0" t="str">
        <f aca="false">IF(E13&gt;4.99,"Exceptional",IF(E13&gt;3.99,"Exceed Expectation",IF(E13&gt;=2.99,"Meet Expectation",IF(E13&gt;1.9,"Below Expectation","Unsatisfactory"))))</f>
        <v>Meet Expectation</v>
      </c>
      <c r="G13" s="0" t="n">
        <v>3.4</v>
      </c>
      <c r="H13" s="0" t="str">
        <f aca="false">IF(G13&gt;4.99,"Exceptional",IF(G13&gt;3.99,"Exceed Expectation",IF(G13&gt;=2.99,"Meet Expectation",IF(G13&gt;1.9,"Below Expectation","Unsatisfactory"))))</f>
        <v>Meet Expectation</v>
      </c>
      <c r="I13" s="0" t="n">
        <v>3.0875</v>
      </c>
      <c r="J13" s="0" t="str">
        <f aca="false">IF(I13&gt;4.99,"Exceptional",IF(I13&gt;3.9,"Exceed Expectation",IF(I13&gt;=2.99,"Meet Expectation",IF(I13&gt;1.9,"Below Expectation","Unsatisfactory"))))</f>
        <v>Meet Expectation</v>
      </c>
      <c r="K13" s="0" t="n">
        <v>3.03888888888889</v>
      </c>
      <c r="L13" s="0" t="s">
        <v>250</v>
      </c>
      <c r="M13" s="0" t="str">
        <f aca="false">IF(K13&gt;4.99,"Exceptional",IF(K13&gt;3.9,"Exceed Expectation",IF(K13&gt;=2.99,"Meet Expectation",IF(K13&gt;1.9,"Below Expectation","Unsatisfactory"))))</f>
        <v>Meet Expectation</v>
      </c>
      <c r="N13" s="0" t="n">
        <v>3.54444444444444</v>
      </c>
      <c r="O13" s="0" t="s">
        <v>251</v>
      </c>
      <c r="P13" s="0" t="str">
        <f aca="false">IF(N13&gt;4.99,"Exceptional",IF(N13&gt;3.9,"Exceed Expectation",IF(N13&gt;=2.99,"Meet Expectation",IF(N13&gt;1.9,"Below Expectation","Unsatisfactory"))))</f>
        <v>Meet Expectation</v>
      </c>
      <c r="Q13" s="0" t="n">
        <v>3</v>
      </c>
      <c r="R13" s="0" t="s">
        <v>252</v>
      </c>
      <c r="S13" s="0" t="s">
        <v>203</v>
      </c>
      <c r="T13" s="0" t="s">
        <v>204</v>
      </c>
      <c r="U13" s="0" t="s">
        <v>205</v>
      </c>
      <c r="V13" s="0" t="n">
        <v>3.46875</v>
      </c>
      <c r="W13" s="0" t="s">
        <v>253</v>
      </c>
      <c r="X13" s="0" t="s">
        <v>207</v>
      </c>
      <c r="Y13" s="0" t="n">
        <v>0</v>
      </c>
      <c r="Z13" s="0" t="n">
        <v>0</v>
      </c>
    </row>
    <row r="14" customFormat="false" ht="15" hidden="false" customHeight="false" outlineLevel="0" collapsed="false">
      <c r="A14" s="0" t="s">
        <v>254</v>
      </c>
      <c r="B14" s="0" t="s">
        <v>255</v>
      </c>
      <c r="C14" s="0" t="n">
        <v>3.46</v>
      </c>
      <c r="D14" s="0" t="str">
        <f aca="false">IF(C14&gt;4.99,"Exceptional",IF(C14&gt;3.99,"Exceed Expectation",IF(C14&gt;=2.99,"Meet Expectation",IF(C14&gt;1.9,"Below Expectation","Unsatisfactory"))))</f>
        <v>Meet Expectation</v>
      </c>
      <c r="E14" s="0" t="n">
        <v>3.46</v>
      </c>
      <c r="F14" s="0" t="str">
        <f aca="false">IF(E14&gt;4.99,"Exceptional",IF(E14&gt;3.99,"Exceed Expectation",IF(E14&gt;=2.99,"Meet Expectation",IF(E14&gt;1.9,"Below Expectation","Unsatisfactory"))))</f>
        <v>Meet Expectation</v>
      </c>
      <c r="G14" s="0" t="n">
        <v>3.86</v>
      </c>
      <c r="H14" s="0" t="str">
        <f aca="false">IF(G14&gt;4.99,"Exceptional",IF(G14&gt;3.99,"Exceed Expectation",IF(G14&gt;=2.99,"Meet Expectation",IF(G14&gt;1.9,"Below Expectation","Unsatisfactory"))))</f>
        <v>Meet Expectation</v>
      </c>
      <c r="I14" s="0" t="n">
        <v>3</v>
      </c>
      <c r="J14" s="0" t="str">
        <f aca="false">IF(I14&gt;4.99,"Exceptional",IF(I14&gt;3.9,"Exceed Expectation",IF(I14&gt;=2.99,"Meet Expectation",IF(I14&gt;1.9,"Below Expectation","Unsatisfactory"))))</f>
        <v>Meet Expectation</v>
      </c>
      <c r="K14" s="0" t="n">
        <v>3.18076923076923</v>
      </c>
      <c r="L14" s="0" t="s">
        <v>256</v>
      </c>
      <c r="M14" s="0" t="str">
        <f aca="false">IF(K14&gt;4.99,"Exceptional",IF(K14&gt;3.9,"Exceed Expectation",IF(K14&gt;=2.99,"Meet Expectation",IF(K14&gt;1.9,"Below Expectation","Unsatisfactory"))))</f>
        <v>Meet Expectation</v>
      </c>
      <c r="N14" s="0" t="n">
        <v>2.93717948717949</v>
      </c>
      <c r="O14" s="0" t="s">
        <v>257</v>
      </c>
      <c r="P14" s="0" t="str">
        <f aca="false">IF(N14&gt;4.99,"Exceptional",IF(N14&gt;3.9,"Exceed Expectation",IF(N14&gt;=2.99,"Meet Expectation",IF(N14&gt;1.9,"Below Expectation","Unsatisfactory"))))</f>
        <v>Below Expectation</v>
      </c>
      <c r="Q14" s="0" t="n">
        <v>2.42727272727273</v>
      </c>
      <c r="R14" s="0" t="s">
        <v>258</v>
      </c>
      <c r="S14" s="0" t="s">
        <v>193</v>
      </c>
      <c r="T14" s="0" t="s">
        <v>259</v>
      </c>
      <c r="U14" s="0" t="s">
        <v>260</v>
      </c>
      <c r="V14" s="0" t="n">
        <v>3.51818181818182</v>
      </c>
      <c r="W14" s="0" t="s">
        <v>261</v>
      </c>
      <c r="X14" s="0" t="s">
        <v>207</v>
      </c>
      <c r="Y14" s="24" t="n">
        <f aca="false">RESULT!E19</f>
        <v>3.03181818181818</v>
      </c>
      <c r="Z14" s="0" t="str">
        <f aca="false">RESULT!G19</f>
        <v>Diharapkan untuk tim project yang diassign apabila CR sudah di signoff agar availibility dari resource ready</v>
      </c>
      <c r="AA14" s="0" t="str">
        <f aca="false">IF(Y14&gt;4.99,"Exceptional",IF(Y14&gt;3.99,"Exceed Expectation",IF(Y14&gt;=2.99,"Meet Expectation",IF(Y14&gt;1.9,"Below Expectation","Unsatisfactory"))))</f>
        <v>Meet Expectation</v>
      </c>
    </row>
    <row r="15" customFormat="false" ht="15" hidden="false" customHeight="false" outlineLevel="0" collapsed="false">
      <c r="A15" s="0" t="s">
        <v>262</v>
      </c>
      <c r="B15" s="0" t="s">
        <v>263</v>
      </c>
      <c r="C15" s="0" t="s">
        <v>239</v>
      </c>
      <c r="D15" s="0" t="s">
        <v>239</v>
      </c>
      <c r="E15" s="0" t="n">
        <v>3</v>
      </c>
      <c r="F15" s="0" t="str">
        <f aca="false">IF(E15&gt;4.99,"Exceptional",IF(E15&gt;3.99,"Exceed Expectation",IF(E15&gt;=2.99,"Meet Expectation",IF(E15&gt;1.9,"Below Expectation","Unsatisfactory"))))</f>
        <v>Meet Expectation</v>
      </c>
      <c r="G15" s="0" t="n">
        <v>3</v>
      </c>
      <c r="H15" s="0" t="str">
        <f aca="false">IF(G15&gt;4.99,"Exceptional",IF(G15&gt;3.99,"Exceed Expectation",IF(G15&gt;=2.99,"Meet Expectation",IF(G15&gt;1.9,"Below Expectation","Unsatisfactory"))))</f>
        <v>Meet Expectation</v>
      </c>
      <c r="I15" s="0" t="n">
        <v>3.35</v>
      </c>
      <c r="J15" s="0" t="str">
        <f aca="false">IF(I15&gt;4.99,"Exceptional",IF(I15&gt;3.9,"Exceed Expectation",IF(I15&gt;=2.99,"Meet Expectation",IF(I15&gt;1.9,"Below Expectation","Unsatisfactory"))))</f>
        <v>Meet Expectation</v>
      </c>
      <c r="K15" s="0" t="n">
        <v>2.84090909090909</v>
      </c>
      <c r="L15" s="0" t="s">
        <v>264</v>
      </c>
      <c r="M15" s="0" t="str">
        <f aca="false">IF(K15&gt;4.99,"Exceptional",IF(K15&gt;3.9,"Exceed Expectation",IF(K15&gt;=2.99,"Meet Expectation",IF(K15&gt;1.9,"Below Expectation","Unsatisfactory"))))</f>
        <v>Below Expectation</v>
      </c>
      <c r="N15" s="0" t="n">
        <v>2.77272727272727</v>
      </c>
      <c r="O15" s="0" t="s">
        <v>265</v>
      </c>
      <c r="P15" s="0" t="str">
        <f aca="false">IF(N15&gt;4.99,"Exceptional",IF(N15&gt;3.9,"Exceed Expectation",IF(N15&gt;=2.99,"Meet Expectation",IF(N15&gt;1.9,"Below Expectation","Unsatisfactory"))))</f>
        <v>Below Expectation</v>
      </c>
      <c r="Q15" s="0" t="n">
        <v>2</v>
      </c>
      <c r="R15" s="0" t="s">
        <v>266</v>
      </c>
      <c r="S15" s="0" t="s">
        <v>193</v>
      </c>
      <c r="T15" s="0" t="s">
        <v>267</v>
      </c>
      <c r="U15" s="0" t="s">
        <v>268</v>
      </c>
      <c r="V15" s="0" t="n">
        <v>2.96111111111111</v>
      </c>
      <c r="W15" s="0" t="s">
        <v>269</v>
      </c>
      <c r="X15" s="0" t="s">
        <v>197</v>
      </c>
      <c r="Y15" s="24" t="n">
        <f aca="false">RESULT!E16</f>
        <v>2.96111111111111</v>
      </c>
      <c r="Z15" s="0" t="str">
        <f aca="false">RESULT!G16</f>
        <v>Improve quality service, specially for leakage, </v>
      </c>
      <c r="AA15" s="0" t="str">
        <f aca="false">IF(Y15&gt;4.99,"Exceptional",IF(Y15&gt;3.99,"Exceed Expectation",IF(Y15&gt;=2.99,"Meet Expectation",IF(Y15&gt;1.9,"Below Expectation","Unsatisfactory"))))</f>
        <v>Below Expectation</v>
      </c>
    </row>
    <row r="16" customFormat="false" ht="15" hidden="false" customHeight="false" outlineLevel="0" collapsed="false">
      <c r="A16" s="0" t="s">
        <v>270</v>
      </c>
      <c r="B16" s="0" t="s">
        <v>271</v>
      </c>
      <c r="C16" s="0" t="s">
        <v>239</v>
      </c>
      <c r="D16" s="0" t="s">
        <v>239</v>
      </c>
      <c r="E16" s="0" t="s">
        <v>239</v>
      </c>
      <c r="F16" s="0" t="s">
        <v>239</v>
      </c>
      <c r="G16" s="0" t="s">
        <v>239</v>
      </c>
      <c r="H16" s="0" t="s">
        <v>239</v>
      </c>
      <c r="I16" s="0" t="n">
        <v>3.23333333333333</v>
      </c>
      <c r="J16" s="0" t="str">
        <f aca="false">IF(I16&gt;4.99,"Exceptional",IF(I16&gt;3.9,"Exceed Expectation",IF(I16&gt;=2.99,"Meet Expectation",IF(I16&gt;1.9,"Below Expectation","Unsatisfactory"))))</f>
        <v>Meet Expectation</v>
      </c>
      <c r="K16" s="0" t="n">
        <v>2.97083333333333</v>
      </c>
      <c r="L16" s="0" t="s">
        <v>272</v>
      </c>
      <c r="M16" s="0" t="str">
        <f aca="false">IF(K16&gt;4.99,"Exceptional",IF(K16&gt;3.9,"Exceed Expectation",IF(K16&gt;=2.99,"Meet Expectation",IF(K16&gt;1.9,"Below Expectation","Unsatisfactory"))))</f>
        <v>Below Expectation</v>
      </c>
      <c r="N16" s="0" t="n">
        <v>2.88333333333333</v>
      </c>
      <c r="O16" s="0" t="s">
        <v>273</v>
      </c>
      <c r="P16" s="0" t="str">
        <f aca="false">IF(N16&gt;4.99,"Exceptional",IF(N16&gt;3.9,"Exceed Expectation",IF(N16&gt;=2.99,"Meet Expectation",IF(N16&gt;1.9,"Below Expectation","Unsatisfactory"))))</f>
        <v>Below Expectation</v>
      </c>
      <c r="Q16" s="0" t="n">
        <v>3.1</v>
      </c>
      <c r="R16" s="0" t="s">
        <v>274</v>
      </c>
      <c r="S16" s="0" t="s">
        <v>203</v>
      </c>
      <c r="T16" s="0" t="s">
        <v>204</v>
      </c>
      <c r="U16" s="0" t="s">
        <v>205</v>
      </c>
      <c r="V16" s="0" t="n">
        <v>3.11666666666667</v>
      </c>
      <c r="W16" s="0" t="s">
        <v>275</v>
      </c>
      <c r="X16" s="0" t="s">
        <v>207</v>
      </c>
      <c r="Y16" s="24" t="n">
        <f aca="false">RESULT!E17</f>
        <v>3.16363636363636</v>
      </c>
      <c r="Z16" s="0" t="str">
        <f aca="false">RESULT!G17</f>
        <v>Need more improvement regarding initiative to take mitigation/preventive action to prevent the problem from recurring/current issue.</v>
      </c>
      <c r="AA16" s="0" t="str">
        <f aca="false">IF(Y16&gt;4.99,"Exceptional",IF(Y16&gt;3.99,"Exceed Expectation",IF(Y16&gt;=2.99,"Meet Expectation",IF(Y16&gt;1.9,"Below Expectation","Unsatisfactory"))))</f>
        <v>Meet Expectation</v>
      </c>
    </row>
    <row r="17" customFormat="false" ht="15" hidden="false" customHeight="false" outlineLevel="0" collapsed="false">
      <c r="A17" s="0" t="s">
        <v>276</v>
      </c>
      <c r="B17" s="0" t="s">
        <v>277</v>
      </c>
      <c r="C17" s="0" t="s">
        <v>239</v>
      </c>
      <c r="D17" s="0" t="s">
        <v>239</v>
      </c>
      <c r="E17" s="0" t="s">
        <v>239</v>
      </c>
      <c r="F17" s="0" t="s">
        <v>239</v>
      </c>
      <c r="G17" s="0" t="s">
        <v>239</v>
      </c>
      <c r="H17" s="0" t="s">
        <v>239</v>
      </c>
      <c r="I17" s="0" t="s">
        <v>239</v>
      </c>
      <c r="J17" s="0" t="s">
        <v>239</v>
      </c>
      <c r="K17" s="0" t="n">
        <v>3.18666666666667</v>
      </c>
      <c r="L17" s="0" t="s">
        <v>278</v>
      </c>
      <c r="M17" s="0" t="str">
        <f aca="false">IF(K17&gt;4.99,"Exceptional",IF(K17&gt;3.9,"Exceed Expectation",IF(K17&gt;=2.99,"Meet Expectation",IF(K17&gt;1.9,"Below Expectation","Unsatisfactory"))))</f>
        <v>Meet Expectation</v>
      </c>
      <c r="N17" s="0" t="n">
        <v>3.67333333333333</v>
      </c>
      <c r="O17" s="0" t="s">
        <v>279</v>
      </c>
      <c r="P17" s="0" t="str">
        <f aca="false">IF(N17&gt;4.99,"Exceptional",IF(N17&gt;3.9,"Exceed Expectation",IF(N17&gt;=2.99,"Meet Expectation",IF(N17&gt;1.9,"Below Expectation","Unsatisfactory"))))</f>
        <v>Meet Expectation</v>
      </c>
      <c r="Q17" s="0" t="n">
        <v>3.51666666666667</v>
      </c>
      <c r="R17" s="0" t="s">
        <v>280</v>
      </c>
      <c r="S17" s="0" t="s">
        <v>203</v>
      </c>
      <c r="T17" s="0" t="s">
        <v>204</v>
      </c>
      <c r="U17" s="0" t="s">
        <v>205</v>
      </c>
      <c r="V17" s="0" t="n">
        <v>3.86666666666667</v>
      </c>
      <c r="W17" s="0" t="s">
        <v>239</v>
      </c>
      <c r="X17" s="0" t="s">
        <v>207</v>
      </c>
      <c r="Y17" s="24" t="n">
        <f aca="false">RESULT!E14</f>
        <v>3.68333333333333</v>
      </c>
      <c r="Z17" s="0" t="str">
        <f aca="false">RESULT!G14</f>
        <v>Local vendor Sutra is affiliated with SAS Technology which is known as more expensive system compared to other vendors during the Vendor Bidding Process. However, SAS Technology System has been used in few well-known insurance companies in Indonesia, so it is easier to get the review and information; mostly positive.   </v>
      </c>
      <c r="AA17" s="0" t="str">
        <f aca="false">IF(Y17&gt;4.99,"Exceptional",IF(Y17&gt;3.99,"Exceed Expectation",IF(Y17&gt;=2.99,"Meet Expectation",IF(Y17&gt;1.9,"Below Expectation","Unsatisfactory"))))</f>
        <v>Meet Expectation</v>
      </c>
    </row>
    <row r="18" customFormat="false" ht="15" hidden="false" customHeight="false" outlineLevel="0" collapsed="false">
      <c r="A18" s="0" t="s">
        <v>281</v>
      </c>
      <c r="B18" s="0" t="s">
        <v>282</v>
      </c>
      <c r="K18" s="0" t="s">
        <v>239</v>
      </c>
      <c r="L18" s="0" t="s">
        <v>239</v>
      </c>
      <c r="M18" s="0" t="s">
        <v>239</v>
      </c>
      <c r="N18" s="0" t="s">
        <v>239</v>
      </c>
      <c r="O18" s="0" t="s">
        <v>239</v>
      </c>
      <c r="P18" s="0" t="s">
        <v>239</v>
      </c>
      <c r="Q18" s="0" t="s">
        <v>239</v>
      </c>
      <c r="R18" s="0" t="s">
        <v>239</v>
      </c>
      <c r="S18" s="0" t="s">
        <v>239</v>
      </c>
      <c r="T18" s="0" t="n">
        <v>3</v>
      </c>
      <c r="U18" s="0" t="s">
        <v>283</v>
      </c>
      <c r="Y18" s="24" t="n">
        <f aca="false">RESULT!E18</f>
        <v>3</v>
      </c>
      <c r="Z18" s="0" t="str">
        <f aca="false">RESULT!G18</f>
        <v>Always check and recheck the task in internal PIC TMF before send the report to AMFS PIC </v>
      </c>
      <c r="AA18" s="0" t="str">
        <f aca="false">IF(Y18&gt;4.99,"Exceptional",IF(Y18&gt;3.99,"Exceed Expectation",IF(Y18&gt;=2.99,"Meet Expectation",IF(Y18&gt;1.9,"Below Expectation","Unsatisfactory"))))</f>
        <v>Meet Expectation</v>
      </c>
    </row>
    <row r="19" customFormat="false" ht="15" hidden="false" customHeight="false" outlineLevel="0" collapsed="false">
      <c r="A19" s="0" t="s">
        <v>284</v>
      </c>
      <c r="B19" s="0" t="s">
        <v>285</v>
      </c>
      <c r="K19" s="0" t="s">
        <v>239</v>
      </c>
      <c r="L19" s="0" t="s">
        <v>239</v>
      </c>
      <c r="M19" s="0" t="s">
        <v>239</v>
      </c>
      <c r="N19" s="0" t="s">
        <v>239</v>
      </c>
      <c r="O19" s="0" t="s">
        <v>239</v>
      </c>
      <c r="P19" s="0" t="s">
        <v>239</v>
      </c>
      <c r="Q19" s="0" t="s">
        <v>239</v>
      </c>
      <c r="R19" s="0" t="s">
        <v>239</v>
      </c>
      <c r="S19" s="0" t="s">
        <v>239</v>
      </c>
      <c r="T19" s="0" t="n">
        <v>3.54166666666667</v>
      </c>
      <c r="U19" s="0" t="s">
        <v>261</v>
      </c>
      <c r="Y19" s="24" t="n">
        <f aca="false">RESULT!E15</f>
        <v>4.76666666666667</v>
      </c>
      <c r="Z19" s="0" t="str">
        <f aca="false">RESULT!G15</f>
        <v>More inovation for 2026</v>
      </c>
      <c r="AA19" s="0" t="str">
        <f aca="false">IF(Y19&gt;4.99,"Exceptional",IF(Y19&gt;3.99,"Exceed Expectation",IF(Y19&gt;=2.99,"Meet Expectation",IF(Y19&gt;1.9,"Below Expectation","Unsatisfactory"))))</f>
        <v>Exceed Expectation</v>
      </c>
    </row>
    <row r="20" customFormat="false" ht="15" hidden="false" customHeight="false" outlineLevel="0" collapsed="false">
      <c r="A20" s="0" t="s">
        <v>286</v>
      </c>
      <c r="B20" s="0" t="s">
        <v>287</v>
      </c>
      <c r="Y20" s="24" t="n">
        <f aca="false">RESULT!E4</f>
        <v>3</v>
      </c>
      <c r="Z20" s="0" t="str">
        <f aca="false">RESULT!G4</f>
        <v>No need improvement</v>
      </c>
      <c r="AA20" s="0" t="str">
        <f aca="false">IF(Y20&gt;4.99,"Exceptional",IF(Y20&gt;3.99,"Exceed Expectation",IF(Y20&gt;=2.99,"Meet Expectation",IF(Y20&gt;1.9,"Below Expectation","Unsatisfactory"))))</f>
        <v>Meet Expectation</v>
      </c>
    </row>
    <row r="21" customFormat="false" ht="15" hidden="false" customHeight="false" outlineLevel="0" collapsed="false">
      <c r="A21" s="0" t="s">
        <v>288</v>
      </c>
      <c r="B21" s="0" t="s">
        <v>287</v>
      </c>
      <c r="Y21" s="24" t="n">
        <f aca="false">RESULT!E3</f>
        <v>4</v>
      </c>
      <c r="Z21" s="0" t="str">
        <f aca="false">RESULT!G3</f>
        <v>no need improvement</v>
      </c>
      <c r="AA21" s="0" t="str">
        <f aca="false">IF(Y21&gt;4.99,"Exceptional",IF(Y21&gt;3.99,"Exceed Expectation",IF(Y21&gt;=2.99,"Meet Expectation",IF(Y21&gt;1.9,"Below Expectation","Unsatisfactory"))))</f>
        <v>Exceed Expectation</v>
      </c>
    </row>
    <row r="22" customFormat="false" ht="15" hidden="false" customHeight="false" outlineLevel="0" collapsed="false">
      <c r="A22" s="0" t="s">
        <v>289</v>
      </c>
      <c r="B22" s="0" t="s">
        <v>287</v>
      </c>
      <c r="Y22" s="24" t="n">
        <f aca="false">RESULT!E2</f>
        <v>3</v>
      </c>
      <c r="Z22" s="0" t="str">
        <f aca="false">RESULT!G2</f>
        <v>Currently no need improvement</v>
      </c>
      <c r="AA22" s="0" t="str">
        <f aca="false">IF(Y22&gt;4.99,"Exceptional",IF(Y22&gt;3.99,"Exceed Expectation",IF(Y22&gt;=2.99,"Meet Expectation",IF(Y22&gt;1.9,"Below Expectation","Unsatisfactory"))))</f>
        <v>Meet Expectation</v>
      </c>
    </row>
  </sheetData>
  <mergeCells count="16">
    <mergeCell ref="A1:A3"/>
    <mergeCell ref="B1:B3"/>
    <mergeCell ref="C1:J1"/>
    <mergeCell ref="K1:X1"/>
    <mergeCell ref="Y1:AA1"/>
    <mergeCell ref="C2:D2"/>
    <mergeCell ref="E2:F2"/>
    <mergeCell ref="G2:H2"/>
    <mergeCell ref="I2:J2"/>
    <mergeCell ref="K2:M2"/>
    <mergeCell ref="N2:P2"/>
    <mergeCell ref="Q2:S2"/>
    <mergeCell ref="T2:T3"/>
    <mergeCell ref="U2:U3"/>
    <mergeCell ref="V2:X2"/>
    <mergeCell ref="Y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GS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60" hidden="false" customHeight="true" outlineLevel="0" collapsed="false">
      <c r="A1" s="25" t="s">
        <v>290</v>
      </c>
      <c r="B1" s="25" t="s">
        <v>291</v>
      </c>
      <c r="C1" s="25" t="s">
        <v>292</v>
      </c>
      <c r="D1" s="25" t="s">
        <v>293</v>
      </c>
      <c r="E1" s="25" t="s">
        <v>294</v>
      </c>
      <c r="F1" s="25" t="s">
        <v>295</v>
      </c>
      <c r="G1" s="25" t="s">
        <v>296</v>
      </c>
      <c r="H1" s="25" t="s">
        <v>297</v>
      </c>
      <c r="I1" s="25" t="s">
        <v>298</v>
      </c>
      <c r="J1" s="25" t="s">
        <v>299</v>
      </c>
      <c r="K1" s="25" t="s">
        <v>300</v>
      </c>
      <c r="L1" s="25" t="s">
        <v>301</v>
      </c>
      <c r="M1" s="25" t="s">
        <v>302</v>
      </c>
      <c r="N1" s="25" t="s">
        <v>303</v>
      </c>
      <c r="O1" s="25" t="s">
        <v>304</v>
      </c>
      <c r="P1" s="25" t="s">
        <v>305</v>
      </c>
      <c r="Q1" s="25" t="s">
        <v>306</v>
      </c>
      <c r="R1" s="25" t="s">
        <v>307</v>
      </c>
      <c r="S1" s="25" t="s">
        <v>308</v>
      </c>
      <c r="T1" s="25" t="s">
        <v>309</v>
      </c>
      <c r="U1" s="25" t="s">
        <v>310</v>
      </c>
      <c r="V1" s="25" t="s">
        <v>311</v>
      </c>
      <c r="W1" s="25" t="s">
        <v>312</v>
      </c>
      <c r="X1" s="25" t="s">
        <v>313</v>
      </c>
      <c r="Y1" s="25" t="s">
        <v>314</v>
      </c>
      <c r="Z1" s="25" t="s">
        <v>315</v>
      </c>
      <c r="AA1" s="25" t="s">
        <v>316</v>
      </c>
      <c r="AB1" s="25" t="s">
        <v>317</v>
      </c>
      <c r="AC1" s="25" t="s">
        <v>318</v>
      </c>
      <c r="AD1" s="25" t="s">
        <v>319</v>
      </c>
      <c r="AE1" s="25" t="s">
        <v>320</v>
      </c>
      <c r="AF1" s="25" t="s">
        <v>321</v>
      </c>
      <c r="AG1" s="25" t="s">
        <v>322</v>
      </c>
      <c r="AH1" s="25" t="s">
        <v>323</v>
      </c>
      <c r="AI1" s="25" t="s">
        <v>324</v>
      </c>
      <c r="AJ1" s="25" t="s">
        <v>325</v>
      </c>
      <c r="AK1" s="25" t="s">
        <v>326</v>
      </c>
      <c r="AL1" s="25" t="s">
        <v>327</v>
      </c>
      <c r="AM1" s="25" t="s">
        <v>328</v>
      </c>
      <c r="AN1" s="25" t="s">
        <v>329</v>
      </c>
      <c r="AO1" s="25" t="s">
        <v>330</v>
      </c>
      <c r="AP1" s="25" t="s">
        <v>331</v>
      </c>
      <c r="AQ1" s="25" t="s">
        <v>332</v>
      </c>
      <c r="AR1" s="25" t="s">
        <v>333</v>
      </c>
      <c r="AS1" s="25" t="s">
        <v>334</v>
      </c>
      <c r="AT1" s="25" t="s">
        <v>335</v>
      </c>
      <c r="AU1" s="25" t="s">
        <v>336</v>
      </c>
      <c r="AV1" s="25" t="s">
        <v>337</v>
      </c>
      <c r="AW1" s="25" t="s">
        <v>338</v>
      </c>
      <c r="AX1" s="25" t="s">
        <v>339</v>
      </c>
      <c r="AY1" s="25" t="s">
        <v>340</v>
      </c>
      <c r="AZ1" s="25" t="s">
        <v>341</v>
      </c>
      <c r="BA1" s="25" t="s">
        <v>342</v>
      </c>
      <c r="BB1" s="25" t="s">
        <v>343</v>
      </c>
      <c r="BC1" s="25" t="s">
        <v>344</v>
      </c>
      <c r="BD1" s="25" t="s">
        <v>345</v>
      </c>
      <c r="BE1" s="25" t="s">
        <v>346</v>
      </c>
      <c r="BF1" s="25" t="s">
        <v>347</v>
      </c>
      <c r="BG1" s="25" t="s">
        <v>348</v>
      </c>
      <c r="BH1" s="25" t="s">
        <v>349</v>
      </c>
      <c r="BI1" s="25" t="s">
        <v>350</v>
      </c>
      <c r="BJ1" s="25" t="s">
        <v>351</v>
      </c>
      <c r="BK1" s="25" t="s">
        <v>352</v>
      </c>
      <c r="BL1" s="25" t="s">
        <v>353</v>
      </c>
      <c r="BM1" s="25" t="s">
        <v>354</v>
      </c>
      <c r="BN1" s="25" t="s">
        <v>355</v>
      </c>
      <c r="BO1" s="25" t="s">
        <v>356</v>
      </c>
      <c r="BP1" s="25" t="s">
        <v>357</v>
      </c>
      <c r="BQ1" s="25" t="s">
        <v>358</v>
      </c>
      <c r="BR1" s="25" t="s">
        <v>359</v>
      </c>
      <c r="BS1" s="25" t="s">
        <v>360</v>
      </c>
      <c r="BT1" s="25" t="s">
        <v>361</v>
      </c>
      <c r="BU1" s="25" t="s">
        <v>362</v>
      </c>
      <c r="BV1" s="25" t="s">
        <v>363</v>
      </c>
      <c r="BW1" s="25" t="s">
        <v>364</v>
      </c>
      <c r="BX1" s="25" t="s">
        <v>365</v>
      </c>
      <c r="BY1" s="25" t="s">
        <v>366</v>
      </c>
      <c r="BZ1" s="25" t="s">
        <v>367</v>
      </c>
      <c r="CA1" s="25" t="s">
        <v>368</v>
      </c>
      <c r="CB1" s="25" t="s">
        <v>369</v>
      </c>
      <c r="CC1" s="25" t="s">
        <v>370</v>
      </c>
      <c r="CD1" s="25" t="s">
        <v>371</v>
      </c>
      <c r="CE1" s="25" t="s">
        <v>372</v>
      </c>
      <c r="CF1" s="25" t="s">
        <v>373</v>
      </c>
      <c r="CG1" s="25" t="s">
        <v>374</v>
      </c>
      <c r="CH1" s="25" t="s">
        <v>375</v>
      </c>
      <c r="CI1" s="25" t="s">
        <v>376</v>
      </c>
      <c r="CJ1" s="25" t="s">
        <v>377</v>
      </c>
      <c r="CK1" s="25" t="s">
        <v>378</v>
      </c>
      <c r="CL1" s="25" t="s">
        <v>379</v>
      </c>
      <c r="CM1" s="25" t="s">
        <v>380</v>
      </c>
      <c r="CN1" s="25" t="s">
        <v>381</v>
      </c>
      <c r="CO1" s="25" t="s">
        <v>382</v>
      </c>
      <c r="CP1" s="25" t="s">
        <v>383</v>
      </c>
      <c r="CQ1" s="25" t="s">
        <v>384</v>
      </c>
      <c r="CR1" s="25" t="s">
        <v>385</v>
      </c>
      <c r="CS1" s="25" t="s">
        <v>386</v>
      </c>
      <c r="CT1" s="25" t="s">
        <v>387</v>
      </c>
      <c r="CU1" s="25" t="s">
        <v>388</v>
      </c>
      <c r="CV1" s="25" t="s">
        <v>389</v>
      </c>
      <c r="CW1" s="25" t="s">
        <v>390</v>
      </c>
      <c r="CX1" s="25" t="s">
        <v>391</v>
      </c>
      <c r="CY1" s="25" t="s">
        <v>392</v>
      </c>
      <c r="CZ1" s="25" t="s">
        <v>393</v>
      </c>
      <c r="DA1" s="25" t="s">
        <v>394</v>
      </c>
      <c r="DB1" s="25" t="s">
        <v>395</v>
      </c>
      <c r="DC1" s="25" t="s">
        <v>396</v>
      </c>
      <c r="DD1" s="25" t="s">
        <v>397</v>
      </c>
      <c r="DE1" s="25" t="s">
        <v>398</v>
      </c>
      <c r="DF1" s="25" t="s">
        <v>399</v>
      </c>
      <c r="DG1" s="25" t="s">
        <v>400</v>
      </c>
      <c r="DH1" s="25" t="s">
        <v>401</v>
      </c>
      <c r="DI1" s="25" t="s">
        <v>402</v>
      </c>
      <c r="DJ1" s="25" t="s">
        <v>403</v>
      </c>
      <c r="DK1" s="25" t="s">
        <v>404</v>
      </c>
      <c r="DL1" s="25" t="s">
        <v>405</v>
      </c>
      <c r="DM1" s="25" t="s">
        <v>406</v>
      </c>
      <c r="DN1" s="25" t="s">
        <v>407</v>
      </c>
      <c r="DO1" s="25" t="s">
        <v>408</v>
      </c>
      <c r="DP1" s="25" t="s">
        <v>409</v>
      </c>
      <c r="DQ1" s="25" t="s">
        <v>410</v>
      </c>
      <c r="DR1" s="25" t="s">
        <v>411</v>
      </c>
      <c r="DS1" s="25" t="s">
        <v>412</v>
      </c>
      <c r="DT1" s="25" t="s">
        <v>413</v>
      </c>
      <c r="DU1" s="25" t="s">
        <v>414</v>
      </c>
      <c r="DV1" s="25" t="s">
        <v>415</v>
      </c>
      <c r="DW1" s="25" t="s">
        <v>416</v>
      </c>
      <c r="DX1" s="25" t="s">
        <v>417</v>
      </c>
      <c r="DY1" s="25" t="s">
        <v>418</v>
      </c>
      <c r="DZ1" s="25" t="s">
        <v>419</v>
      </c>
      <c r="EA1" s="25" t="s">
        <v>420</v>
      </c>
      <c r="EB1" s="25" t="s">
        <v>421</v>
      </c>
      <c r="EC1" s="25" t="s">
        <v>422</v>
      </c>
      <c r="ED1" s="25" t="s">
        <v>423</v>
      </c>
      <c r="EE1" s="25" t="s">
        <v>424</v>
      </c>
      <c r="EF1" s="25" t="s">
        <v>425</v>
      </c>
      <c r="EG1" s="25" t="s">
        <v>426</v>
      </c>
      <c r="EH1" s="25" t="s">
        <v>427</v>
      </c>
      <c r="EI1" s="25" t="s">
        <v>428</v>
      </c>
      <c r="EJ1" s="25" t="s">
        <v>429</v>
      </c>
      <c r="EK1" s="25" t="s">
        <v>430</v>
      </c>
      <c r="EL1" s="25" t="s">
        <v>431</v>
      </c>
      <c r="EM1" s="25" t="s">
        <v>432</v>
      </c>
      <c r="EN1" s="25" t="s">
        <v>433</v>
      </c>
      <c r="EO1" s="25" t="s">
        <v>434</v>
      </c>
      <c r="EP1" s="25" t="s">
        <v>435</v>
      </c>
      <c r="EQ1" s="25" t="s">
        <v>436</v>
      </c>
      <c r="ER1" s="25" t="s">
        <v>437</v>
      </c>
      <c r="ES1" s="25" t="s">
        <v>438</v>
      </c>
      <c r="ET1" s="26" t="s">
        <v>439</v>
      </c>
      <c r="EU1" s="26" t="s">
        <v>440</v>
      </c>
      <c r="EV1" s="26" t="s">
        <v>441</v>
      </c>
      <c r="EW1" s="26" t="s">
        <v>442</v>
      </c>
      <c r="EX1" s="26" t="s">
        <v>443</v>
      </c>
      <c r="EY1" s="26" t="s">
        <v>444</v>
      </c>
      <c r="EZ1" s="26" t="s">
        <v>445</v>
      </c>
      <c r="FA1" s="26" t="s">
        <v>446</v>
      </c>
      <c r="FB1" s="26" t="s">
        <v>447</v>
      </c>
      <c r="FC1" s="26" t="s">
        <v>448</v>
      </c>
      <c r="FD1" s="26" t="s">
        <v>449</v>
      </c>
      <c r="FE1" s="25" t="s">
        <v>450</v>
      </c>
      <c r="FF1" s="25" t="s">
        <v>451</v>
      </c>
      <c r="FG1" s="26" t="s">
        <v>452</v>
      </c>
      <c r="FH1" s="25" t="s">
        <v>453</v>
      </c>
      <c r="FI1" s="25" t="s">
        <v>454</v>
      </c>
      <c r="FJ1" s="26" t="s">
        <v>455</v>
      </c>
      <c r="FK1" s="25" t="s">
        <v>456</v>
      </c>
      <c r="FL1" s="25" t="s">
        <v>457</v>
      </c>
      <c r="FM1" s="26" t="s">
        <v>458</v>
      </c>
      <c r="FN1" s="25" t="s">
        <v>459</v>
      </c>
      <c r="FO1" s="25" t="s">
        <v>460</v>
      </c>
      <c r="FP1" s="25" t="s">
        <v>461</v>
      </c>
      <c r="FQ1" s="25" t="s">
        <v>462</v>
      </c>
      <c r="FR1" s="26" t="s">
        <v>463</v>
      </c>
      <c r="FS1" s="26" t="s">
        <v>464</v>
      </c>
      <c r="FT1" s="26" t="s">
        <v>465</v>
      </c>
      <c r="FU1" s="25" t="s">
        <v>466</v>
      </c>
      <c r="FV1" s="26" t="s">
        <v>467</v>
      </c>
      <c r="FW1" s="26" t="s">
        <v>468</v>
      </c>
      <c r="FX1" s="26" t="s">
        <v>469</v>
      </c>
      <c r="FY1" s="25" t="s">
        <v>470</v>
      </c>
      <c r="FZ1" s="25" t="s">
        <v>471</v>
      </c>
      <c r="GA1" s="25" t="s">
        <v>472</v>
      </c>
      <c r="GB1" s="25" t="s">
        <v>473</v>
      </c>
      <c r="GC1" s="25" t="s">
        <v>474</v>
      </c>
      <c r="GD1" s="25" t="s">
        <v>475</v>
      </c>
      <c r="GE1" s="25" t="s">
        <v>476</v>
      </c>
      <c r="GF1" s="25" t="s">
        <v>477</v>
      </c>
      <c r="GG1" s="25" t="s">
        <v>478</v>
      </c>
      <c r="GH1" s="25" t="s">
        <v>479</v>
      </c>
      <c r="GI1" s="25" t="s">
        <v>480</v>
      </c>
      <c r="GJ1" s="26" t="s">
        <v>481</v>
      </c>
      <c r="GK1" s="25" t="s">
        <v>482</v>
      </c>
      <c r="GL1" s="25" t="s">
        <v>483</v>
      </c>
      <c r="GM1" s="25" t="s">
        <v>484</v>
      </c>
      <c r="GN1" s="25" t="s">
        <v>485</v>
      </c>
      <c r="GO1" s="25" t="s">
        <v>486</v>
      </c>
      <c r="GP1" s="25" t="s">
        <v>487</v>
      </c>
      <c r="GQ1" s="25" t="s">
        <v>488</v>
      </c>
      <c r="GR1" s="25" t="s">
        <v>489</v>
      </c>
      <c r="GS1" s="25" t="s">
        <v>490</v>
      </c>
    </row>
    <row r="2" customFormat="false" ht="15" hidden="false" customHeight="false" outlineLevel="0" collapsed="false">
      <c r="A2" s="27" t="n">
        <v>46112.4320601852</v>
      </c>
      <c r="B2" s="27" t="n">
        <v>46112.4360648148</v>
      </c>
      <c r="C2" s="27" t="s">
        <v>52</v>
      </c>
      <c r="D2" s="27" t="s">
        <v>491</v>
      </c>
      <c r="E2" s="27" t="s">
        <v>492</v>
      </c>
      <c r="F2" s="27" t="s">
        <v>51</v>
      </c>
      <c r="FJ2" s="27" t="n">
        <v>3</v>
      </c>
      <c r="FK2" s="27" t="n">
        <v>3</v>
      </c>
      <c r="FL2" s="27" t="n">
        <v>3</v>
      </c>
      <c r="FN2" s="27" t="n">
        <v>3</v>
      </c>
      <c r="FO2" s="27" t="n">
        <v>3</v>
      </c>
      <c r="FP2" s="27" t="n">
        <v>3</v>
      </c>
      <c r="GH2" s="27" t="n">
        <v>3</v>
      </c>
      <c r="GI2" s="27" t="n">
        <v>3</v>
      </c>
      <c r="GJ2" s="27" t="n">
        <v>3</v>
      </c>
      <c r="GK2" s="27" t="s">
        <v>493</v>
      </c>
      <c r="GL2" s="27" t="s">
        <v>493</v>
      </c>
      <c r="GM2" s="27" t="s">
        <v>494</v>
      </c>
      <c r="GN2" s="27" t="s">
        <v>495</v>
      </c>
      <c r="GO2" s="27" t="s">
        <v>496</v>
      </c>
      <c r="GQ2" s="27" t="s">
        <v>497</v>
      </c>
      <c r="GS2" s="27" t="s">
        <v>498</v>
      </c>
    </row>
    <row r="3" customFormat="false" ht="15" hidden="false" customHeight="false" outlineLevel="0" collapsed="false">
      <c r="A3" s="27" t="n">
        <v>46112.4361689815</v>
      </c>
      <c r="B3" s="27" t="n">
        <v>46112.4372685185</v>
      </c>
      <c r="C3" s="27" t="s">
        <v>52</v>
      </c>
      <c r="D3" s="27" t="s">
        <v>491</v>
      </c>
      <c r="E3" s="27" t="s">
        <v>492</v>
      </c>
      <c r="F3" s="27" t="s">
        <v>67</v>
      </c>
      <c r="FG3" s="27" t="n">
        <v>4</v>
      </c>
      <c r="FH3" s="27" t="n">
        <v>4</v>
      </c>
      <c r="FI3" s="27" t="n">
        <v>4</v>
      </c>
      <c r="FN3" s="27" t="n">
        <v>4</v>
      </c>
      <c r="FO3" s="27" t="n">
        <v>4</v>
      </c>
      <c r="FP3" s="27" t="n">
        <v>4</v>
      </c>
      <c r="GH3" s="27" t="n">
        <v>4</v>
      </c>
      <c r="GI3" s="27" t="n">
        <v>4</v>
      </c>
      <c r="GJ3" s="27" t="n">
        <v>4</v>
      </c>
      <c r="GK3" s="27" t="s">
        <v>493</v>
      </c>
      <c r="GL3" s="27" t="s">
        <v>493</v>
      </c>
      <c r="GM3" s="27" t="s">
        <v>494</v>
      </c>
      <c r="GN3" s="27" t="s">
        <v>495</v>
      </c>
      <c r="GO3" s="27" t="s">
        <v>496</v>
      </c>
      <c r="GQ3" s="27" t="s">
        <v>497</v>
      </c>
      <c r="GS3" s="27" t="s">
        <v>499</v>
      </c>
    </row>
    <row r="4" customFormat="false" ht="15" hidden="false" customHeight="false" outlineLevel="0" collapsed="false">
      <c r="A4" s="27" t="n">
        <v>46112.437349537</v>
      </c>
      <c r="B4" s="27" t="n">
        <v>46112.4378703704</v>
      </c>
      <c r="C4" s="27" t="s">
        <v>52</v>
      </c>
      <c r="D4" s="27" t="s">
        <v>491</v>
      </c>
      <c r="E4" s="27" t="s">
        <v>492</v>
      </c>
      <c r="F4" s="27" t="s">
        <v>70</v>
      </c>
      <c r="FD4" s="27" t="n">
        <v>3</v>
      </c>
      <c r="FE4" s="27" t="n">
        <v>3</v>
      </c>
      <c r="FF4" s="27" t="n">
        <v>3</v>
      </c>
      <c r="FN4" s="27" t="n">
        <v>3</v>
      </c>
      <c r="FO4" s="27" t="n">
        <v>3</v>
      </c>
      <c r="FP4" s="27" t="n">
        <v>3</v>
      </c>
      <c r="GH4" s="27" t="n">
        <v>3</v>
      </c>
      <c r="GI4" s="27" t="n">
        <v>3</v>
      </c>
      <c r="GJ4" s="27" t="n">
        <v>3</v>
      </c>
      <c r="GK4" s="27" t="s">
        <v>493</v>
      </c>
      <c r="GL4" s="27" t="s">
        <v>493</v>
      </c>
      <c r="GM4" s="27" t="s">
        <v>494</v>
      </c>
      <c r="GN4" s="27" t="s">
        <v>495</v>
      </c>
      <c r="GO4" s="27" t="s">
        <v>496</v>
      </c>
      <c r="GQ4" s="27" t="s">
        <v>497</v>
      </c>
      <c r="GS4" s="27" t="s">
        <v>500</v>
      </c>
    </row>
    <row r="5" customFormat="false" ht="15" hidden="false" customHeight="false" outlineLevel="0" collapsed="false">
      <c r="A5" s="27" t="n">
        <v>46112.5517708333</v>
      </c>
      <c r="B5" s="27" t="n">
        <v>46112.5656712963</v>
      </c>
      <c r="C5" s="27" t="s">
        <v>74</v>
      </c>
      <c r="D5" s="27" t="s">
        <v>501</v>
      </c>
      <c r="E5" s="27" t="s">
        <v>502</v>
      </c>
      <c r="F5" s="27" t="s">
        <v>73</v>
      </c>
      <c r="DX5" s="27" t="n">
        <v>3</v>
      </c>
      <c r="DY5" s="27" t="n">
        <v>4</v>
      </c>
      <c r="DZ5" s="27" t="n">
        <v>3</v>
      </c>
      <c r="EA5" s="27" t="n">
        <v>3</v>
      </c>
      <c r="EB5" s="27" t="n">
        <v>3</v>
      </c>
      <c r="EC5" s="27" t="n">
        <v>3</v>
      </c>
      <c r="ED5" s="27" t="n">
        <v>4</v>
      </c>
      <c r="EE5" s="27" t="n">
        <v>3</v>
      </c>
      <c r="FN5" s="27" t="n">
        <v>3</v>
      </c>
      <c r="FO5" s="27" t="n">
        <v>4</v>
      </c>
      <c r="FP5" s="27" t="n">
        <v>3</v>
      </c>
      <c r="GH5" s="27" t="n">
        <v>4</v>
      </c>
      <c r="GI5" s="27" t="n">
        <v>4</v>
      </c>
      <c r="GJ5" s="27" t="n">
        <v>3</v>
      </c>
      <c r="GK5" s="27" t="s">
        <v>493</v>
      </c>
      <c r="GL5" s="27" t="s">
        <v>493</v>
      </c>
      <c r="GM5" s="27" t="s">
        <v>503</v>
      </c>
      <c r="GN5" s="27" t="s">
        <v>495</v>
      </c>
      <c r="GO5" s="27" t="s">
        <v>496</v>
      </c>
      <c r="GQ5" s="27" t="s">
        <v>497</v>
      </c>
      <c r="GS5" s="27" t="s">
        <v>504</v>
      </c>
    </row>
    <row r="6" customFormat="false" ht="15" hidden="false" customHeight="false" outlineLevel="0" collapsed="false">
      <c r="A6" s="27" t="n">
        <v>46112.5721990741</v>
      </c>
      <c r="B6" s="27" t="n">
        <v>46112.5876736111</v>
      </c>
      <c r="C6" s="27" t="s">
        <v>78</v>
      </c>
      <c r="D6" s="27" t="s">
        <v>505</v>
      </c>
      <c r="E6" s="27" t="s">
        <v>506</v>
      </c>
      <c r="F6" s="27" t="s">
        <v>77</v>
      </c>
      <c r="AA6" s="27" t="n">
        <v>3</v>
      </c>
      <c r="AB6" s="27" t="n">
        <v>3</v>
      </c>
      <c r="AC6" s="27" t="n">
        <v>3</v>
      </c>
      <c r="AD6" s="27" t="n">
        <v>3</v>
      </c>
      <c r="AE6" s="27" t="n">
        <v>3</v>
      </c>
      <c r="AF6" s="27" t="n">
        <v>3</v>
      </c>
      <c r="AG6" s="27" t="n">
        <v>3</v>
      </c>
      <c r="AH6" s="27" t="n">
        <v>3</v>
      </c>
      <c r="AI6" s="27" t="n">
        <v>3</v>
      </c>
      <c r="AJ6" s="27" t="n">
        <v>3</v>
      </c>
      <c r="AK6" s="27" t="n">
        <v>3</v>
      </c>
      <c r="FQ6" s="27" t="n">
        <v>3</v>
      </c>
      <c r="FR6" s="27" t="n">
        <v>3</v>
      </c>
      <c r="FS6" s="27" t="n">
        <v>3</v>
      </c>
      <c r="FT6" s="27" t="n">
        <v>3</v>
      </c>
      <c r="GH6" s="27" t="n">
        <v>3</v>
      </c>
      <c r="GI6" s="27" t="n">
        <v>3</v>
      </c>
      <c r="GJ6" s="27" t="n">
        <v>3</v>
      </c>
      <c r="GK6" s="27" t="s">
        <v>493</v>
      </c>
      <c r="GL6" s="27" t="s">
        <v>493</v>
      </c>
      <c r="GM6" s="27" t="s">
        <v>503</v>
      </c>
      <c r="GN6" s="27" t="s">
        <v>507</v>
      </c>
      <c r="GO6" s="27" t="s">
        <v>496</v>
      </c>
      <c r="GQ6" s="27" t="s">
        <v>508</v>
      </c>
      <c r="GS6" s="27" t="s">
        <v>509</v>
      </c>
    </row>
    <row r="7" customFormat="false" ht="15" hidden="false" customHeight="false" outlineLevel="0" collapsed="false">
      <c r="A7" s="27" t="n">
        <v>46112.6143287037</v>
      </c>
      <c r="B7" s="27" t="n">
        <v>46112.6143865741</v>
      </c>
      <c r="C7" s="27" t="s">
        <v>78</v>
      </c>
      <c r="D7" s="27" t="s">
        <v>505</v>
      </c>
      <c r="E7" s="27" t="s">
        <v>506</v>
      </c>
      <c r="F7" s="27" t="s">
        <v>83</v>
      </c>
      <c r="DI7" s="27" t="n">
        <v>3</v>
      </c>
      <c r="DJ7" s="27" t="n">
        <v>3</v>
      </c>
      <c r="DK7" s="27" t="n">
        <v>3</v>
      </c>
      <c r="DL7" s="27" t="n">
        <v>3</v>
      </c>
      <c r="DM7" s="27" t="n">
        <v>3</v>
      </c>
      <c r="DN7" s="27" t="n">
        <v>3</v>
      </c>
      <c r="DO7" s="27" t="n">
        <v>3</v>
      </c>
      <c r="DP7" s="27" t="n">
        <v>3</v>
      </c>
      <c r="DQ7" s="27" t="n">
        <v>3</v>
      </c>
      <c r="DR7" s="27" t="n">
        <v>3</v>
      </c>
      <c r="DS7" s="27" t="n">
        <v>3</v>
      </c>
      <c r="DT7" s="27" t="n">
        <v>3</v>
      </c>
      <c r="DU7" s="27" t="n">
        <v>3</v>
      </c>
      <c r="DV7" s="27" t="n">
        <v>3</v>
      </c>
      <c r="DW7" s="27" t="n">
        <v>3</v>
      </c>
      <c r="GE7" s="27" t="n">
        <v>3</v>
      </c>
      <c r="GF7" s="27" t="n">
        <v>3</v>
      </c>
      <c r="GG7" s="27" t="n">
        <v>3</v>
      </c>
      <c r="GH7" s="27" t="n">
        <v>3</v>
      </c>
      <c r="GI7" s="27" t="n">
        <v>3</v>
      </c>
      <c r="GJ7" s="27" t="n">
        <v>3</v>
      </c>
      <c r="GK7" s="27" t="s">
        <v>493</v>
      </c>
      <c r="GL7" s="27" t="s">
        <v>493</v>
      </c>
      <c r="GM7" s="27" t="s">
        <v>503</v>
      </c>
      <c r="GN7" s="27" t="s">
        <v>507</v>
      </c>
      <c r="GO7" s="27" t="s">
        <v>496</v>
      </c>
      <c r="GQ7" s="27" t="s">
        <v>510</v>
      </c>
      <c r="GS7" s="27" t="s">
        <v>511</v>
      </c>
    </row>
    <row r="8" customFormat="false" ht="15" hidden="false" customHeight="false" outlineLevel="0" collapsed="false">
      <c r="A8" s="27" t="n">
        <v>46112.6390162037</v>
      </c>
      <c r="B8" s="27" t="n">
        <v>46112.6449421296</v>
      </c>
      <c r="C8" s="27" t="s">
        <v>74</v>
      </c>
      <c r="D8" s="27" t="s">
        <v>501</v>
      </c>
      <c r="E8" s="27" t="s">
        <v>502</v>
      </c>
      <c r="F8" s="27" t="s">
        <v>88</v>
      </c>
      <c r="AY8" s="27" t="n">
        <v>3</v>
      </c>
      <c r="AZ8" s="27" t="n">
        <v>3</v>
      </c>
      <c r="BA8" s="27" t="n">
        <v>3</v>
      </c>
      <c r="BB8" s="27" t="n">
        <v>3</v>
      </c>
      <c r="BC8" s="27" t="n">
        <v>3</v>
      </c>
      <c r="BD8" s="27" t="n">
        <v>4</v>
      </c>
      <c r="BE8" s="27" t="n">
        <v>3</v>
      </c>
      <c r="BF8" s="27" t="n">
        <v>3</v>
      </c>
      <c r="BG8" s="27" t="n">
        <v>3</v>
      </c>
      <c r="BH8" s="27" t="n">
        <v>3</v>
      </c>
      <c r="BI8" s="27" t="n">
        <v>3</v>
      </c>
      <c r="FU8" s="27" t="n">
        <v>3</v>
      </c>
      <c r="FV8" s="27" t="n">
        <v>3</v>
      </c>
      <c r="FW8" s="27" t="n">
        <v>3</v>
      </c>
      <c r="FX8" s="27" t="n">
        <v>3</v>
      </c>
      <c r="GH8" s="27" t="n">
        <v>3</v>
      </c>
      <c r="GI8" s="27" t="n">
        <v>3</v>
      </c>
      <c r="GJ8" s="27" t="n">
        <v>3</v>
      </c>
      <c r="GK8" s="27" t="s">
        <v>493</v>
      </c>
      <c r="GL8" s="27" t="s">
        <v>493</v>
      </c>
      <c r="GM8" s="27" t="s">
        <v>503</v>
      </c>
      <c r="GN8" s="27" t="s">
        <v>507</v>
      </c>
      <c r="GO8" s="27" t="s">
        <v>496</v>
      </c>
      <c r="GQ8" s="27" t="s">
        <v>497</v>
      </c>
      <c r="GS8" s="27" t="s">
        <v>512</v>
      </c>
    </row>
    <row r="9" customFormat="false" ht="15" hidden="false" customHeight="false" outlineLevel="0" collapsed="false">
      <c r="A9" s="27" t="n">
        <v>46112.7356481481</v>
      </c>
      <c r="B9" s="27" t="n">
        <v>46112.7486226852</v>
      </c>
      <c r="C9" s="27" t="s">
        <v>94</v>
      </c>
      <c r="D9" s="27" t="s">
        <v>513</v>
      </c>
      <c r="E9" s="27" t="s">
        <v>514</v>
      </c>
      <c r="F9" s="27" t="s">
        <v>93</v>
      </c>
      <c r="G9" s="27" t="n">
        <v>4</v>
      </c>
      <c r="H9" s="27" t="n">
        <v>3</v>
      </c>
      <c r="I9" s="27" t="n">
        <v>3</v>
      </c>
      <c r="J9" s="27" t="n">
        <v>3</v>
      </c>
      <c r="K9" s="27" t="n">
        <v>3</v>
      </c>
      <c r="L9" s="27" t="n">
        <v>3</v>
      </c>
      <c r="M9" s="27" t="n">
        <v>3</v>
      </c>
      <c r="N9" s="27" t="n">
        <v>3</v>
      </c>
      <c r="O9" s="27" t="n">
        <v>3</v>
      </c>
      <c r="P9" s="27" t="n">
        <v>3</v>
      </c>
      <c r="Q9" s="27" t="n">
        <v>3</v>
      </c>
      <c r="R9" s="27" t="n">
        <v>3</v>
      </c>
      <c r="S9" s="27" t="n">
        <v>3</v>
      </c>
      <c r="T9" s="27" t="n">
        <v>3</v>
      </c>
      <c r="U9" s="27" t="n">
        <v>3</v>
      </c>
      <c r="V9" s="27" t="n">
        <v>3</v>
      </c>
      <c r="X9" s="27" t="n">
        <v>3</v>
      </c>
      <c r="Y9" s="27" t="n">
        <v>3</v>
      </c>
      <c r="Z9" s="27" t="n">
        <v>3</v>
      </c>
      <c r="FN9" s="27" t="n">
        <v>3</v>
      </c>
      <c r="FO9" s="27" t="n">
        <v>3</v>
      </c>
      <c r="FP9" s="27" t="n">
        <v>3</v>
      </c>
      <c r="GH9" s="27" t="n">
        <v>4</v>
      </c>
      <c r="GI9" s="27" t="n">
        <v>4</v>
      </c>
      <c r="GJ9" s="27" t="n">
        <v>4</v>
      </c>
      <c r="GK9" s="27" t="s">
        <v>34</v>
      </c>
      <c r="GL9" s="27" t="s">
        <v>493</v>
      </c>
      <c r="GM9" s="27" t="s">
        <v>503</v>
      </c>
      <c r="GN9" s="27" t="s">
        <v>495</v>
      </c>
      <c r="GO9" s="27" t="s">
        <v>496</v>
      </c>
      <c r="GQ9" s="27" t="s">
        <v>510</v>
      </c>
      <c r="GS9" s="27" t="s">
        <v>515</v>
      </c>
    </row>
    <row r="10" customFormat="false" ht="15" hidden="false" customHeight="false" outlineLevel="0" collapsed="false">
      <c r="A10" s="27" t="n">
        <v>46113.5764814815</v>
      </c>
      <c r="B10" s="27" t="n">
        <v>46113.5795949074</v>
      </c>
      <c r="C10" s="27" t="s">
        <v>98</v>
      </c>
      <c r="D10" s="27" t="s">
        <v>516</v>
      </c>
      <c r="E10" s="27" t="s">
        <v>517</v>
      </c>
      <c r="F10" s="27" t="s">
        <v>97</v>
      </c>
      <c r="BJ10" s="27" t="n">
        <v>4</v>
      </c>
      <c r="BK10" s="27" t="n">
        <v>4</v>
      </c>
      <c r="BL10" s="27" t="n">
        <v>4</v>
      </c>
      <c r="BM10" s="27" t="n">
        <v>4</v>
      </c>
      <c r="BN10" s="27" t="n">
        <v>4</v>
      </c>
      <c r="BO10" s="27" t="n">
        <v>4</v>
      </c>
      <c r="BP10" s="27" t="n">
        <v>4</v>
      </c>
      <c r="BQ10" s="27" t="n">
        <v>4</v>
      </c>
      <c r="BR10" s="27" t="n">
        <v>4</v>
      </c>
      <c r="BS10" s="27" t="n">
        <v>4</v>
      </c>
      <c r="BT10" s="27" t="n">
        <v>4</v>
      </c>
      <c r="BU10" s="27" t="n">
        <v>4</v>
      </c>
      <c r="BV10" s="27" t="n">
        <v>4</v>
      </c>
      <c r="BW10" s="27" t="n">
        <v>4</v>
      </c>
      <c r="FY10" s="27" t="n">
        <v>4</v>
      </c>
      <c r="FZ10" s="27" t="n">
        <v>4</v>
      </c>
      <c r="GA10" s="27" t="n">
        <v>4</v>
      </c>
      <c r="GB10" s="27" t="n">
        <v>4</v>
      </c>
      <c r="GC10" s="27" t="n">
        <v>4</v>
      </c>
      <c r="GD10" s="27" t="n">
        <v>4</v>
      </c>
      <c r="GH10" s="27" t="n">
        <v>4</v>
      </c>
      <c r="GI10" s="27" t="n">
        <v>4</v>
      </c>
      <c r="GJ10" s="27" t="n">
        <v>4</v>
      </c>
      <c r="GK10" s="27" t="s">
        <v>493</v>
      </c>
      <c r="GL10" s="27" t="s">
        <v>493</v>
      </c>
      <c r="GM10" s="27" t="s">
        <v>503</v>
      </c>
      <c r="GN10" s="27" t="s">
        <v>507</v>
      </c>
      <c r="GO10" s="27" t="s">
        <v>496</v>
      </c>
      <c r="GQ10" s="27" t="s">
        <v>497</v>
      </c>
      <c r="GS10" s="27" t="s">
        <v>518</v>
      </c>
    </row>
    <row r="11" customFormat="false" ht="15" hidden="false" customHeight="false" outlineLevel="0" collapsed="false">
      <c r="A11" s="27" t="n">
        <v>46114.4425</v>
      </c>
      <c r="B11" s="27" t="n">
        <v>46114.4434722222</v>
      </c>
      <c r="C11" s="27" t="s">
        <v>104</v>
      </c>
      <c r="D11" s="27" t="s">
        <v>519</v>
      </c>
      <c r="E11" s="27" t="s">
        <v>520</v>
      </c>
      <c r="F11" s="27" t="s">
        <v>103</v>
      </c>
      <c r="EF11" s="27" t="n">
        <v>3</v>
      </c>
      <c r="EG11" s="27" t="n">
        <v>3</v>
      </c>
      <c r="EH11" s="27" t="n">
        <v>4</v>
      </c>
      <c r="EI11" s="27" t="n">
        <v>4</v>
      </c>
      <c r="EJ11" s="27" t="n">
        <v>4</v>
      </c>
      <c r="EK11" s="27" t="n">
        <v>4</v>
      </c>
      <c r="EL11" s="27" t="n">
        <v>4</v>
      </c>
      <c r="FN11" s="27" t="n">
        <v>4</v>
      </c>
      <c r="FO11" s="27" t="n">
        <v>4</v>
      </c>
      <c r="FP11" s="27" t="n">
        <v>4</v>
      </c>
      <c r="GH11" s="27" t="n">
        <v>4</v>
      </c>
      <c r="GI11" s="27" t="n">
        <v>4</v>
      </c>
      <c r="GJ11" s="27" t="n">
        <v>4</v>
      </c>
      <c r="GK11" s="27" t="s">
        <v>493</v>
      </c>
      <c r="GL11" s="27" t="s">
        <v>493</v>
      </c>
      <c r="GM11" s="27" t="s">
        <v>503</v>
      </c>
      <c r="GN11" s="27" t="s">
        <v>507</v>
      </c>
      <c r="GO11" s="27" t="s">
        <v>496</v>
      </c>
      <c r="GQ11" s="27" t="s">
        <v>497</v>
      </c>
      <c r="GS11" s="27" t="s">
        <v>521</v>
      </c>
    </row>
    <row r="12" customFormat="false" ht="11.9" hidden="false" customHeight="false" outlineLevel="0" collapsed="false">
      <c r="A12" s="27" t="n">
        <v>46114.4472222222</v>
      </c>
      <c r="B12" s="27" t="n">
        <v>46114.4696759259</v>
      </c>
      <c r="C12" s="27" t="s">
        <v>108</v>
      </c>
      <c r="D12" s="27" t="s">
        <v>522</v>
      </c>
      <c r="E12" s="27" t="s">
        <v>523</v>
      </c>
      <c r="F12" s="27" t="s">
        <v>107</v>
      </c>
      <c r="BX12" s="27" t="n">
        <v>4</v>
      </c>
      <c r="BY12" s="27" t="n">
        <v>4</v>
      </c>
      <c r="BZ12" s="27" t="n">
        <v>4</v>
      </c>
      <c r="CA12" s="27" t="n">
        <v>4</v>
      </c>
      <c r="CB12" s="27" t="n">
        <v>4</v>
      </c>
      <c r="CC12" s="27" t="n">
        <v>4</v>
      </c>
      <c r="CD12" s="27" t="n">
        <v>4</v>
      </c>
      <c r="CE12" s="27" t="n">
        <v>4</v>
      </c>
      <c r="CF12" s="27" t="n">
        <v>4</v>
      </c>
      <c r="CG12" s="27" t="n">
        <v>4</v>
      </c>
      <c r="CH12" s="27" t="n">
        <v>4</v>
      </c>
      <c r="CI12" s="27" t="n">
        <v>4</v>
      </c>
      <c r="CJ12" s="27" t="n">
        <v>4</v>
      </c>
      <c r="CK12" s="27" t="n">
        <v>4</v>
      </c>
      <c r="CL12" s="27" t="n">
        <v>4</v>
      </c>
      <c r="CM12" s="27" t="n">
        <v>4</v>
      </c>
      <c r="CN12" s="27" t="n">
        <v>4</v>
      </c>
      <c r="CO12" s="27" t="n">
        <v>4</v>
      </c>
      <c r="CP12" s="27" t="n">
        <v>4</v>
      </c>
      <c r="CQ12" s="27" t="n">
        <v>4</v>
      </c>
      <c r="CR12" s="27" t="n">
        <v>4</v>
      </c>
      <c r="CS12" s="27" t="n">
        <v>4</v>
      </c>
      <c r="CT12" s="27" t="n">
        <v>4</v>
      </c>
      <c r="CU12" s="27" t="n">
        <v>4</v>
      </c>
      <c r="CV12" s="27" t="n">
        <v>4</v>
      </c>
      <c r="CW12" s="27" t="n">
        <v>4</v>
      </c>
      <c r="CX12" s="27" t="n">
        <v>4</v>
      </c>
      <c r="CY12" s="27" t="n">
        <v>4</v>
      </c>
      <c r="CZ12" s="27" t="n">
        <v>4</v>
      </c>
      <c r="DA12" s="27" t="n">
        <v>4</v>
      </c>
      <c r="DB12" s="27" t="n">
        <v>4</v>
      </c>
      <c r="DC12" s="27" t="n">
        <v>4</v>
      </c>
      <c r="DD12" s="27" t="n">
        <v>4</v>
      </c>
      <c r="DE12" s="27" t="n">
        <v>4</v>
      </c>
      <c r="DF12" s="27" t="n">
        <v>4</v>
      </c>
      <c r="DG12" s="27" t="n">
        <v>4</v>
      </c>
      <c r="DH12" s="27" t="n">
        <v>4</v>
      </c>
      <c r="FN12" s="27" t="n">
        <v>4</v>
      </c>
      <c r="FO12" s="27" t="n">
        <v>4</v>
      </c>
      <c r="FP12" s="27" t="n">
        <v>4</v>
      </c>
      <c r="GH12" s="27" t="n">
        <v>4</v>
      </c>
      <c r="GI12" s="27" t="n">
        <v>4</v>
      </c>
      <c r="GJ12" s="27" t="n">
        <v>4</v>
      </c>
      <c r="GK12" s="27" t="s">
        <v>493</v>
      </c>
      <c r="GL12" s="27" t="s">
        <v>493</v>
      </c>
      <c r="GM12" s="27" t="s">
        <v>503</v>
      </c>
      <c r="GN12" s="27" t="s">
        <v>524</v>
      </c>
      <c r="GO12" s="27" t="s">
        <v>496</v>
      </c>
      <c r="GQ12" s="27" t="s">
        <v>497</v>
      </c>
      <c r="GS12" s="28" t="s">
        <v>525</v>
      </c>
    </row>
    <row r="13" customFormat="false" ht="15" hidden="false" customHeight="false" outlineLevel="0" collapsed="false">
      <c r="A13" s="27" t="n">
        <v>46121.6488078704</v>
      </c>
      <c r="B13" s="27" t="n">
        <v>46121.649212963</v>
      </c>
      <c r="C13" s="27" t="s">
        <v>112</v>
      </c>
      <c r="D13" s="27" t="s">
        <v>526</v>
      </c>
      <c r="E13" s="27" t="s">
        <v>527</v>
      </c>
      <c r="F13" s="27" t="s">
        <v>111</v>
      </c>
      <c r="AL13" s="27" t="n">
        <v>5</v>
      </c>
      <c r="AM13" s="27" t="n">
        <v>5</v>
      </c>
      <c r="AN13" s="27" t="n">
        <v>5</v>
      </c>
      <c r="AO13" s="27" t="n">
        <v>4</v>
      </c>
      <c r="AP13" s="27" t="n">
        <v>5</v>
      </c>
      <c r="AQ13" s="27" t="n">
        <v>5</v>
      </c>
      <c r="AR13" s="27" t="n">
        <v>5</v>
      </c>
      <c r="AS13" s="27" t="n">
        <v>5</v>
      </c>
      <c r="AT13" s="27" t="n">
        <v>5</v>
      </c>
      <c r="AU13" s="27" t="n">
        <v>5</v>
      </c>
      <c r="AV13" s="27" t="n">
        <v>4</v>
      </c>
      <c r="AW13" s="27" t="n">
        <v>5</v>
      </c>
      <c r="AX13" s="27" t="n">
        <v>5</v>
      </c>
      <c r="FN13" s="27" t="n">
        <v>4</v>
      </c>
      <c r="FO13" s="27" t="n">
        <v>5</v>
      </c>
      <c r="FP13" s="27" t="n">
        <v>5</v>
      </c>
      <c r="GH13" s="27" t="n">
        <v>5</v>
      </c>
      <c r="GI13" s="27" t="n">
        <v>5</v>
      </c>
      <c r="GJ13" s="27" t="n">
        <v>5</v>
      </c>
      <c r="GK13" s="27" t="s">
        <v>34</v>
      </c>
      <c r="GL13" s="27" t="s">
        <v>34</v>
      </c>
      <c r="GM13" s="27" t="s">
        <v>494</v>
      </c>
      <c r="GN13" s="27" t="s">
        <v>495</v>
      </c>
      <c r="GO13" s="27" t="s">
        <v>528</v>
      </c>
      <c r="GQ13" s="27" t="s">
        <v>508</v>
      </c>
      <c r="GS13" s="27"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D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sheetData>
    <row r="1" customFormat="false" ht="60" hidden="false" customHeight="true" outlineLevel="0" collapsed="false">
      <c r="A1" s="25" t="s">
        <v>290</v>
      </c>
      <c r="B1" s="25" t="s">
        <v>291</v>
      </c>
      <c r="C1" s="25" t="s">
        <v>292</v>
      </c>
      <c r="D1" s="25" t="s">
        <v>293</v>
      </c>
      <c r="E1" s="25" t="s">
        <v>294</v>
      </c>
      <c r="F1" s="25" t="s">
        <v>295</v>
      </c>
      <c r="G1" s="25" t="s">
        <v>530</v>
      </c>
      <c r="H1" s="25" t="s">
        <v>318</v>
      </c>
      <c r="I1" s="25" t="s">
        <v>531</v>
      </c>
      <c r="J1" s="25" t="s">
        <v>532</v>
      </c>
      <c r="K1" s="25" t="s">
        <v>321</v>
      </c>
      <c r="L1" s="25" t="s">
        <v>322</v>
      </c>
      <c r="M1" s="25" t="s">
        <v>309</v>
      </c>
      <c r="N1" s="25" t="s">
        <v>310</v>
      </c>
      <c r="O1" s="25" t="s">
        <v>533</v>
      </c>
      <c r="P1" s="25" t="s">
        <v>534</v>
      </c>
      <c r="Q1" s="25" t="s">
        <v>319</v>
      </c>
      <c r="R1" s="25" t="s">
        <v>320</v>
      </c>
      <c r="S1" s="25" t="s">
        <v>436</v>
      </c>
      <c r="T1" s="25" t="s">
        <v>324</v>
      </c>
      <c r="U1" s="25" t="s">
        <v>535</v>
      </c>
      <c r="V1" s="25" t="s">
        <v>536</v>
      </c>
      <c r="W1" s="25" t="s">
        <v>537</v>
      </c>
      <c r="X1" s="25" t="s">
        <v>538</v>
      </c>
      <c r="Y1" s="25" t="s">
        <v>539</v>
      </c>
      <c r="Z1" s="25" t="s">
        <v>540</v>
      </c>
      <c r="AA1" s="25" t="s">
        <v>541</v>
      </c>
      <c r="AB1" s="25" t="s">
        <v>542</v>
      </c>
      <c r="AC1" s="25" t="s">
        <v>357</v>
      </c>
      <c r="AD1" s="25" t="s">
        <v>335</v>
      </c>
      <c r="AE1" s="25" t="s">
        <v>543</v>
      </c>
      <c r="AF1" s="25" t="s">
        <v>339</v>
      </c>
      <c r="AG1" s="25" t="s">
        <v>544</v>
      </c>
      <c r="AH1" s="25" t="s">
        <v>545</v>
      </c>
      <c r="AI1" s="25" t="s">
        <v>546</v>
      </c>
      <c r="AJ1" s="25" t="s">
        <v>333</v>
      </c>
      <c r="AK1" s="25" t="s">
        <v>334</v>
      </c>
      <c r="AL1" s="25" t="s">
        <v>346</v>
      </c>
      <c r="AM1" s="25" t="s">
        <v>547</v>
      </c>
      <c r="AN1" s="25" t="s">
        <v>350</v>
      </c>
      <c r="AO1" s="25" t="s">
        <v>548</v>
      </c>
      <c r="AP1" s="25" t="s">
        <v>549</v>
      </c>
      <c r="AQ1" s="25" t="s">
        <v>550</v>
      </c>
      <c r="AR1" s="25" t="s">
        <v>551</v>
      </c>
      <c r="AS1" s="25" t="s">
        <v>552</v>
      </c>
      <c r="AT1" s="25" t="s">
        <v>351</v>
      </c>
      <c r="AU1" s="25" t="s">
        <v>356</v>
      </c>
      <c r="AV1" s="25" t="s">
        <v>553</v>
      </c>
      <c r="AW1" s="25" t="s">
        <v>364</v>
      </c>
      <c r="AX1" s="25" t="s">
        <v>554</v>
      </c>
      <c r="AY1" s="25" t="s">
        <v>555</v>
      </c>
      <c r="AZ1" s="25" t="s">
        <v>556</v>
      </c>
      <c r="BA1" s="25" t="s">
        <v>557</v>
      </c>
      <c r="BB1" s="25" t="s">
        <v>558</v>
      </c>
      <c r="BC1" s="25" t="s">
        <v>559</v>
      </c>
      <c r="BD1" s="25" t="s">
        <v>560</v>
      </c>
      <c r="BE1" s="25" t="s">
        <v>561</v>
      </c>
      <c r="BF1" s="25" t="s">
        <v>562</v>
      </c>
      <c r="BG1" s="25" t="s">
        <v>563</v>
      </c>
      <c r="BH1" s="25" t="s">
        <v>564</v>
      </c>
      <c r="BI1" s="25" t="s">
        <v>565</v>
      </c>
      <c r="BJ1" s="25" t="s">
        <v>304</v>
      </c>
      <c r="BK1" s="25" t="s">
        <v>566</v>
      </c>
      <c r="BL1" s="25" t="s">
        <v>306</v>
      </c>
      <c r="BM1" s="25" t="s">
        <v>567</v>
      </c>
      <c r="BN1" s="25" t="s">
        <v>568</v>
      </c>
      <c r="BO1" s="25" t="s">
        <v>569</v>
      </c>
      <c r="BP1" s="25" t="s">
        <v>344</v>
      </c>
      <c r="BQ1" s="25" t="s">
        <v>353</v>
      </c>
      <c r="BR1" s="25" t="s">
        <v>337</v>
      </c>
      <c r="BS1" s="25" t="s">
        <v>570</v>
      </c>
      <c r="BT1" s="25" t="s">
        <v>379</v>
      </c>
      <c r="BU1" s="25" t="s">
        <v>571</v>
      </c>
      <c r="BV1" s="25" t="s">
        <v>572</v>
      </c>
      <c r="BW1" s="25" t="s">
        <v>573</v>
      </c>
      <c r="BX1" s="25" t="s">
        <v>574</v>
      </c>
      <c r="BY1" s="25" t="s">
        <v>575</v>
      </c>
      <c r="BZ1" s="25" t="s">
        <v>576</v>
      </c>
      <c r="CA1" s="25" t="s">
        <v>577</v>
      </c>
      <c r="CB1" s="25" t="s">
        <v>578</v>
      </c>
      <c r="CC1" s="25" t="s">
        <v>579</v>
      </c>
      <c r="CD1" s="25" t="s">
        <v>580</v>
      </c>
      <c r="CE1" s="25" t="s">
        <v>581</v>
      </c>
      <c r="CF1" s="25" t="s">
        <v>582</v>
      </c>
      <c r="CG1" s="25" t="s">
        <v>583</v>
      </c>
      <c r="CH1" s="25" t="s">
        <v>584</v>
      </c>
      <c r="CI1" s="25" t="s">
        <v>585</v>
      </c>
      <c r="CJ1" s="25" t="s">
        <v>459</v>
      </c>
      <c r="CK1" s="25" t="s">
        <v>460</v>
      </c>
      <c r="CL1" s="25" t="s">
        <v>461</v>
      </c>
      <c r="CM1" s="25" t="s">
        <v>462</v>
      </c>
      <c r="CN1" s="25" t="s">
        <v>477</v>
      </c>
      <c r="CO1" s="25" t="s">
        <v>473</v>
      </c>
      <c r="CP1" s="25" t="s">
        <v>586</v>
      </c>
      <c r="CQ1" s="25" t="s">
        <v>587</v>
      </c>
      <c r="CR1" s="25" t="s">
        <v>588</v>
      </c>
      <c r="CS1" s="25" t="s">
        <v>479</v>
      </c>
      <c r="CT1" s="25" t="s">
        <v>480</v>
      </c>
      <c r="CU1" s="25" t="s">
        <v>589</v>
      </c>
      <c r="CV1" s="25" t="s">
        <v>482</v>
      </c>
      <c r="CW1" s="25" t="s">
        <v>590</v>
      </c>
      <c r="CX1" s="25" t="s">
        <v>484</v>
      </c>
      <c r="CY1" s="25" t="s">
        <v>591</v>
      </c>
      <c r="CZ1" s="25" t="s">
        <v>485</v>
      </c>
      <c r="DA1" s="25" t="s">
        <v>592</v>
      </c>
      <c r="DB1" s="25" t="s">
        <v>486</v>
      </c>
      <c r="DC1" s="25" t="s">
        <v>487</v>
      </c>
      <c r="DD1" s="25" t="s">
        <v>488</v>
      </c>
      <c r="DE1" s="25" t="s">
        <v>489</v>
      </c>
      <c r="DF1" s="25" t="s">
        <v>490</v>
      </c>
    </row>
    <row r="2" customFormat="false" ht="15" hidden="false" customHeight="false" outlineLevel="0" collapsed="false">
      <c r="A2" s="29" t="n">
        <v>46111.5756944444</v>
      </c>
      <c r="B2" s="29" t="n">
        <v>46111.5833333333</v>
      </c>
      <c r="C2" s="27" t="s">
        <v>116</v>
      </c>
      <c r="D2" s="27" t="s">
        <v>593</v>
      </c>
      <c r="E2" s="27" t="s">
        <v>594</v>
      </c>
      <c r="F2" s="27" t="s">
        <v>115</v>
      </c>
      <c r="AT2" s="27" t="n">
        <v>4</v>
      </c>
      <c r="AU2" s="27" t="n">
        <v>4</v>
      </c>
      <c r="AV2" s="27" t="n">
        <v>4</v>
      </c>
      <c r="AW2" s="27" t="n">
        <v>4</v>
      </c>
      <c r="AX2" s="27" t="n">
        <v>4</v>
      </c>
      <c r="AY2" s="27" t="n">
        <v>3</v>
      </c>
      <c r="AZ2" s="27" t="n">
        <v>3</v>
      </c>
      <c r="BA2" s="27" t="n">
        <v>3</v>
      </c>
      <c r="BB2" s="27" t="n">
        <v>3</v>
      </c>
      <c r="BC2" s="27" t="n">
        <v>4</v>
      </c>
      <c r="BD2" s="27" t="n">
        <v>4</v>
      </c>
      <c r="BE2" s="27" t="n">
        <v>3</v>
      </c>
      <c r="BF2" s="27" t="n">
        <v>3</v>
      </c>
      <c r="BG2" s="27" t="n">
        <v>3</v>
      </c>
      <c r="BH2" s="27" t="n">
        <v>4</v>
      </c>
      <c r="BI2" s="27" t="n">
        <v>4</v>
      </c>
      <c r="BJ2" s="27" t="n">
        <v>3</v>
      </c>
      <c r="BK2" s="27" t="n">
        <v>3</v>
      </c>
      <c r="BL2" s="27" t="n">
        <v>3</v>
      </c>
      <c r="BM2" s="27" t="n">
        <v>3</v>
      </c>
      <c r="BN2" s="27" t="n">
        <v>3</v>
      </c>
      <c r="CJ2" s="27" t="n">
        <v>3</v>
      </c>
      <c r="CK2" s="27" t="n">
        <v>4</v>
      </c>
      <c r="CL2" s="27" t="n">
        <v>4</v>
      </c>
      <c r="CS2" s="27" t="n">
        <v>4</v>
      </c>
      <c r="CT2" s="27" t="n">
        <v>4</v>
      </c>
      <c r="CU2" s="27" t="n">
        <v>4</v>
      </c>
      <c r="CV2" s="27" t="s">
        <v>493</v>
      </c>
      <c r="CW2" s="27" t="s">
        <v>493</v>
      </c>
      <c r="CX2" s="27" t="s">
        <v>494</v>
      </c>
      <c r="CZ2" s="27" t="s">
        <v>495</v>
      </c>
      <c r="DB2" s="27" t="s">
        <v>496</v>
      </c>
      <c r="DD2" s="27" t="s">
        <v>510</v>
      </c>
      <c r="DF2" s="27" t="s">
        <v>595</v>
      </c>
    </row>
    <row r="3" customFormat="false" ht="15" hidden="false" customHeight="false" outlineLevel="0" collapsed="false">
      <c r="A3" s="29" t="n">
        <v>46111.6256944445</v>
      </c>
      <c r="B3" s="29" t="n">
        <v>46111.6354166667</v>
      </c>
      <c r="C3" s="27" t="s">
        <v>132</v>
      </c>
      <c r="D3" s="27" t="s">
        <v>596</v>
      </c>
      <c r="E3" s="27" t="s">
        <v>597</v>
      </c>
      <c r="F3" s="27" t="s">
        <v>131</v>
      </c>
      <c r="CD3" s="27" t="n">
        <v>4</v>
      </c>
      <c r="CE3" s="27" t="n">
        <v>4</v>
      </c>
      <c r="CF3" s="27" t="n">
        <v>3</v>
      </c>
      <c r="CG3" s="27" t="n">
        <v>5</v>
      </c>
      <c r="CH3" s="27" t="n">
        <v>5</v>
      </c>
      <c r="CI3" s="27" t="n">
        <v>5</v>
      </c>
      <c r="CM3" s="27" t="n">
        <v>5</v>
      </c>
      <c r="CN3" s="27" t="n">
        <v>5</v>
      </c>
      <c r="CO3" s="27" t="n">
        <v>5</v>
      </c>
      <c r="CS3" s="27" t="n">
        <v>5</v>
      </c>
      <c r="CT3" s="27" t="n">
        <v>5</v>
      </c>
      <c r="CU3" s="27" t="n">
        <v>5</v>
      </c>
      <c r="CV3" s="27" t="s">
        <v>493</v>
      </c>
      <c r="CW3" s="27" t="s">
        <v>493</v>
      </c>
      <c r="CX3" s="27" t="s">
        <v>503</v>
      </c>
      <c r="CZ3" s="27" t="s">
        <v>507</v>
      </c>
      <c r="DB3" s="27" t="s">
        <v>496</v>
      </c>
      <c r="DD3" s="27" t="s">
        <v>508</v>
      </c>
      <c r="DF3" s="27" t="s">
        <v>598</v>
      </c>
    </row>
    <row r="4" customFormat="false" ht="15" hidden="false" customHeight="false" outlineLevel="0" collapsed="false">
      <c r="A4" s="29" t="n">
        <v>46112.6444444444</v>
      </c>
      <c r="B4" s="29" t="n">
        <v>46112.6479166667</v>
      </c>
      <c r="C4" s="27" t="s">
        <v>74</v>
      </c>
      <c r="D4" s="27" t="s">
        <v>501</v>
      </c>
      <c r="E4" s="27" t="s">
        <v>502</v>
      </c>
      <c r="F4" s="27" t="s">
        <v>137</v>
      </c>
      <c r="Z4" s="27" t="n">
        <v>3</v>
      </c>
      <c r="AA4" s="27" t="n">
        <v>3</v>
      </c>
      <c r="AB4" s="27" t="n">
        <v>3</v>
      </c>
      <c r="AC4" s="27" t="n">
        <v>3</v>
      </c>
      <c r="AD4" s="27" t="n">
        <v>3</v>
      </c>
      <c r="AE4" s="27" t="n">
        <v>3</v>
      </c>
      <c r="AF4" s="27" t="n">
        <v>3</v>
      </c>
      <c r="AG4" s="27" t="n">
        <v>2</v>
      </c>
      <c r="AH4" s="27" t="n">
        <v>3</v>
      </c>
      <c r="CJ4" s="27" t="n">
        <v>3</v>
      </c>
      <c r="CK4" s="27" t="n">
        <v>3</v>
      </c>
      <c r="CL4" s="27" t="n">
        <v>3</v>
      </c>
      <c r="CS4" s="27" t="n">
        <v>3</v>
      </c>
      <c r="CT4" s="27" t="n">
        <v>3</v>
      </c>
      <c r="CU4" s="27" t="n">
        <v>3</v>
      </c>
      <c r="CV4" s="27" t="s">
        <v>34</v>
      </c>
      <c r="CW4" s="27" t="s">
        <v>34</v>
      </c>
      <c r="CX4" s="27" t="s">
        <v>494</v>
      </c>
      <c r="CZ4" s="27" t="s">
        <v>495</v>
      </c>
      <c r="DB4" s="27" t="s">
        <v>599</v>
      </c>
      <c r="DD4" s="27" t="s">
        <v>508</v>
      </c>
      <c r="DF4" s="27" t="s">
        <v>600</v>
      </c>
    </row>
    <row r="5" customFormat="false" ht="15" hidden="false" customHeight="false" outlineLevel="0" collapsed="false">
      <c r="A5" s="29" t="n">
        <v>46112.69375</v>
      </c>
      <c r="B5" s="29" t="n">
        <v>46112.6986111111</v>
      </c>
      <c r="C5" s="27" t="s">
        <v>140</v>
      </c>
      <c r="D5" s="27" t="s">
        <v>601</v>
      </c>
      <c r="E5" s="27" t="s">
        <v>602</v>
      </c>
      <c r="F5" s="27" t="s">
        <v>139</v>
      </c>
      <c r="AI5" s="27" t="n">
        <v>3</v>
      </c>
      <c r="AJ5" s="27" t="n">
        <v>3</v>
      </c>
      <c r="AK5" s="27" t="n">
        <v>3</v>
      </c>
      <c r="AL5" s="27" t="n">
        <v>3</v>
      </c>
      <c r="AM5" s="27" t="n">
        <v>3</v>
      </c>
      <c r="AN5" s="27" t="n">
        <v>3</v>
      </c>
      <c r="AO5" s="27" t="n">
        <v>3</v>
      </c>
      <c r="AP5" s="27" t="n">
        <v>4</v>
      </c>
      <c r="AQ5" s="27" t="n">
        <v>4</v>
      </c>
      <c r="AR5" s="27" t="n">
        <v>3</v>
      </c>
      <c r="AS5" s="27" t="n">
        <v>3</v>
      </c>
      <c r="CJ5" s="27" t="n">
        <v>3</v>
      </c>
      <c r="CK5" s="27" t="n">
        <v>3</v>
      </c>
      <c r="CL5" s="27" t="n">
        <v>3</v>
      </c>
      <c r="CS5" s="27" t="n">
        <v>3</v>
      </c>
      <c r="CT5" s="27" t="n">
        <v>4</v>
      </c>
      <c r="CU5" s="27" t="n">
        <v>3</v>
      </c>
      <c r="CV5" s="27" t="s">
        <v>493</v>
      </c>
      <c r="CW5" s="27" t="s">
        <v>493</v>
      </c>
      <c r="CX5" s="27" t="s">
        <v>503</v>
      </c>
      <c r="DB5" s="27" t="s">
        <v>496</v>
      </c>
      <c r="DD5" s="27" t="s">
        <v>508</v>
      </c>
      <c r="DF5" s="27" t="s">
        <v>603</v>
      </c>
    </row>
    <row r="6" customFormat="false" ht="15" hidden="false" customHeight="false" outlineLevel="0" collapsed="false">
      <c r="A6" s="29" t="n">
        <v>46113.3493055556</v>
      </c>
      <c r="B6" s="29" t="n">
        <v>46113.3520833333</v>
      </c>
      <c r="C6" s="27" t="s">
        <v>144</v>
      </c>
      <c r="D6" s="27" t="s">
        <v>604</v>
      </c>
      <c r="E6" s="27" t="s">
        <v>605</v>
      </c>
      <c r="F6" s="27" t="s">
        <v>143</v>
      </c>
      <c r="BX6" s="27" t="n">
        <v>3</v>
      </c>
      <c r="BY6" s="27" t="n">
        <v>3</v>
      </c>
      <c r="BZ6" s="27" t="n">
        <v>3</v>
      </c>
      <c r="CA6" s="27" t="n">
        <v>3</v>
      </c>
      <c r="CB6" s="27" t="n">
        <v>3</v>
      </c>
      <c r="CC6" s="27" t="n">
        <v>3</v>
      </c>
      <c r="CP6" s="27" t="n">
        <v>3</v>
      </c>
      <c r="CQ6" s="27" t="n">
        <v>3</v>
      </c>
      <c r="CR6" s="27" t="n">
        <v>3</v>
      </c>
      <c r="CS6" s="27" t="n">
        <v>3</v>
      </c>
      <c r="CT6" s="27" t="n">
        <v>3</v>
      </c>
      <c r="CU6" s="27" t="n">
        <v>3</v>
      </c>
      <c r="DF6" s="27" t="s">
        <v>606</v>
      </c>
    </row>
    <row r="7" customFormat="false" ht="15" hidden="false" customHeight="false" outlineLevel="0" collapsed="false">
      <c r="A7" s="29" t="n">
        <v>46114.5638888889</v>
      </c>
      <c r="B7" s="29" t="n">
        <v>46114.5722222222</v>
      </c>
      <c r="C7" s="27" t="s">
        <v>149</v>
      </c>
      <c r="D7" s="27" t="s">
        <v>607</v>
      </c>
      <c r="E7" s="27" t="s">
        <v>608</v>
      </c>
      <c r="F7" s="27" t="s">
        <v>148</v>
      </c>
      <c r="O7" s="27" t="n">
        <v>3</v>
      </c>
      <c r="P7" s="27" t="n">
        <v>3</v>
      </c>
      <c r="Q7" s="27" t="n">
        <v>3</v>
      </c>
      <c r="R7" s="27" t="n">
        <v>3</v>
      </c>
      <c r="S7" s="27" t="n">
        <v>3</v>
      </c>
      <c r="T7" s="27" t="n">
        <v>3</v>
      </c>
      <c r="U7" s="27" t="n">
        <v>4</v>
      </c>
      <c r="V7" s="27" t="n">
        <v>3</v>
      </c>
      <c r="W7" s="27" t="n">
        <v>3</v>
      </c>
      <c r="X7" s="27" t="n">
        <v>3</v>
      </c>
      <c r="Y7" s="27" t="n">
        <v>3</v>
      </c>
      <c r="CJ7" s="27" t="n">
        <v>3</v>
      </c>
      <c r="CK7" s="27" t="n">
        <v>3</v>
      </c>
      <c r="CL7" s="27" t="n">
        <v>3</v>
      </c>
      <c r="CS7" s="27" t="n">
        <v>3</v>
      </c>
      <c r="CT7" s="27" t="n">
        <v>3</v>
      </c>
      <c r="CU7" s="27" t="n">
        <v>3</v>
      </c>
      <c r="CV7" s="27" t="s">
        <v>493</v>
      </c>
      <c r="CW7" s="27" t="s">
        <v>493</v>
      </c>
      <c r="CX7" s="27" t="s">
        <v>503</v>
      </c>
      <c r="CZ7" s="27" t="s">
        <v>524</v>
      </c>
      <c r="DB7" s="27" t="s">
        <v>496</v>
      </c>
      <c r="DD7" s="27" t="s">
        <v>497</v>
      </c>
      <c r="DF7" s="27" t="s">
        <v>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2026-07-23T02:13:04Z</dcterms:created>
  <dc:creator>openpyxl</dc:creator>
  <dc:description/>
  <dc:language>en-US</dc:language>
  <cp:lastModifiedBy/>
  <dcterms:modified xsi:type="dcterms:W3CDTF">2026-07-23T02:19:25Z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