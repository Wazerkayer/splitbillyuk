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Ringkasan" sheetId="2" state="visible" r:id="rId4"/>
    <sheet name="Master Vendor &amp; Item" sheetId="3" state="visible" r:id="rId5"/>
    <sheet name="Shopping Cart" sheetId="4" state="visible" r:id="rId6"/>
    <sheet name="Non-Shopping Cart PO" sheetId="5" state="visible" r:id="rId7"/>
    <sheet name="Fokus Gap Phase 3" sheetId="6" state="visible" r:id="rId8"/>
    <sheet name="Gap Log Konsolidasi"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<sst xmlns="http://schemas.openxmlformats.org/spreadsheetml/2006/main" count="274" uniqueCount="168">
  <si>
    <t xml:space="preserve">Trial Lab FLIPS – Panduan Pengisian Worksheet</t>
  </si>
  <si>
    <t xml:space="preserve">FLIPS Enhancement Phase 3 | End-to-End Process Testing</t>
  </si>
  <si>
    <t xml:space="preserve">Tujuan Worksheet</t>
  </si>
  <si>
    <t xml:space="preserve">Mendokumentasikan hasil trial lab pengujian end-to-end proses FLIPS yang dijalankan oleh tim Procurement, untuk menemukan gap, remediation, dan possibility improvement yang akan menjadi input Gap Analysis dan Business Case FLIPS Phase 3.</t>
  </si>
  <si>
    <t xml:space="preserve">Ruang Lingkup Trial Lab</t>
  </si>
  <si>
    <t xml:space="preserve">Trial lab ini diuji oleh tim Procurement dan mencakup 3 area proses:
1) Master Vendor &amp; Item — data master yang menjadi fondasi transaksi
2) Shopping Cart — proses PR sampai PO untuk item katalog
3) Non-Shopping Cart PO — proses PR, PRF, Due Diligence, ProcSum, sampai PO &amp; approval HOP
Proses Finance (Invoice Management, Voucher, Payment) di luar ruang lingkup trial lab ini karena dijalankan oleh tim Finance, namun tetap dipetakan di sheet 'Fokus Gap Phase 3' sebatas titik temu (hand-off) yang bisa diamati dari sisi Procurement.</t>
  </si>
  <si>
    <t xml:space="preserve">Cara Menggunakan</t>
  </si>
  <si>
    <t xml:space="preserve">1) Pilih sheet sesuai modul/proses yang sedang diuji (Master Vendor &amp; Item, Shopping Cart, Non-Shopping Cart PO, atau Fokus Gap Phase 3).
2) Kolom No sampai Expected Result sudah disiapkan berdasarkan user manual FLIPS, tidak perlu diubah kecuali ada penyesuaian.
3) Isi kolom Actual Result berdasarkan hasil yang benar-benar terjadi saat trial dijalankan.
4) Pilih Status dari dropdown (Sesuai / Partial Gap / Gap / Belum Diuji).
5) Jika Status = Gap atau Partial Gap, wajib isi Deskripsi Gap, Dampak, Severity, dan Usulan Remediation.
6) Baris kosong di bagian bawah setiap sheet dapat digunakan untuk menambahkan skenario baru yang ditemukan saat trial berjalan.
7) Pindahkan/salin setiap baris berstatus Gap atau Partial Gap ke sheet 'Gap Log Konsolidasi' untuk tindak lanjut.</t>
  </si>
  <si>
    <t xml:space="preserve">Struktur Sheet</t>
  </si>
  <si>
    <t xml:space="preserve">- Master Vendor &amp; Item: pengujian data master Vendor Master dan Item Master
- Shopping Cart: pengujian proses PR shopping cart sampai PO
- Non-Shopping Cart PO: pengujian proses PR, ProcSum, Due Diligence, sampai PO &amp; approval HOP
- Fokus Gap Phase 3: skenario khusus untuk memvalidasi gap yang sudah teridentifikasi (Contract-to-Payment, Ratecard, Installment Monitoring, Dashboard) dari sudut pandang tim Procurement
- Gap Log Konsolidasi: rekap seluruh temuan gap lintas proses untuk tindak lanjut &amp; tracking
- Ringkasan: rekap jumlah skenario per status, otomatis terhubung ke seluruh sheet proses</t>
  </si>
  <si>
    <t xml:space="preserve">Catatan</t>
  </si>
  <si>
    <t xml:space="preserve">Worksheet ini adalah draft awal untuk direview. Skenario, expected result, PIC role, dan kolom dapat disesuaikan sebelum trial lab dijalankan. Silakan tambah/hapus baris sesuai kebutuhan aktual tim Procurement.</t>
  </si>
  <si>
    <t xml:space="preserve">Referensi Sumber:</t>
  </si>
  <si>
    <t xml:space="preserve">• User Manual Master APS Procurement v0.2 (Vendor Master &amp; Item Master)</t>
  </si>
  <si>
    <t xml:space="preserve">• User Manual Shopping Cart v0.3</t>
  </si>
  <si>
    <t xml:space="preserve">• User Manual Non Shopping Cart PO v0.3</t>
  </si>
  <si>
    <t xml:space="preserve">• Gap Analysis FLIPS Enhancement Phase 3 (Bang Dimas / Nikolas / Mba Renata / Mba Anes)</t>
  </si>
  <si>
    <t xml:space="preserve">Ringkasan Hasil Trial Lab FLIPS</t>
  </si>
  <si>
    <t xml:space="preserve">Rekap otomatis berdasarkan kolom Status di setiap sheet proses</t>
  </si>
  <si>
    <t xml:space="preserve">No</t>
  </si>
  <si>
    <t xml:space="preserve">Proses</t>
  </si>
  <si>
    <t xml:space="preserve">Belum Diuji</t>
  </si>
  <si>
    <t xml:space="preserve">Sesuai</t>
  </si>
  <si>
    <t xml:space="preserve">Partial Gap</t>
  </si>
  <si>
    <t xml:space="preserve">Gap</t>
  </si>
  <si>
    <t xml:space="preserve">Total Skenario</t>
  </si>
  <si>
    <t xml:space="preserve">Master Vendor &amp; Item</t>
  </si>
  <si>
    <t xml:space="preserve">Shopping Cart</t>
  </si>
  <si>
    <t xml:space="preserve">Non-Shopping Cart PO</t>
  </si>
  <si>
    <t xml:space="preserve">Fokus Gap Phase 3</t>
  </si>
  <si>
    <t xml:space="preserve">TOTAL</t>
  </si>
  <si>
    <t xml:space="preserve">Catatan: tabel ini terhubung otomatis (formula) ke kolom Status pada masing-masing sheet proses. Update akan muncul otomatis saat kolom Status diisi selama trial berjalan.</t>
  </si>
  <si>
    <t xml:space="preserve">Trial Lab – Master Vendor &amp; Item</t>
  </si>
  <si>
    <t xml:space="preserve">Sumber: User Manual Master APS Procurement v0.2 (khusus Vendor Master &amp; Item Master)</t>
  </si>
  <si>
    <t xml:space="preserve">Modul / Proses</t>
  </si>
  <si>
    <t xml:space="preserve">Skenario / Langkah yang Diuji</t>
  </si>
  <si>
    <t xml:space="preserve">Role Penguji (PIC)</t>
  </si>
  <si>
    <t xml:space="preserve">Expected Result (Ideal)</t>
  </si>
  <si>
    <t xml:space="preserve">Actual Result (diisi saat trial)</t>
  </si>
  <si>
    <t xml:space="preserve">Status</t>
  </si>
  <si>
    <t xml:space="preserve">Deskripsi Gap</t>
  </si>
  <si>
    <t xml:space="preserve">Dampak</t>
  </si>
  <si>
    <t xml:space="preserve">Severity</t>
  </si>
  <si>
    <t xml:space="preserve">Usulan Remediation / Improvement</t>
  </si>
  <si>
    <t xml:space="preserve">Catatan Tambahan</t>
  </si>
  <si>
    <t xml:space="preserve">Vendor Master</t>
  </si>
  <si>
    <t xml:space="preserve">Create vendor baru lengkap dengan Bank Account, Payment Terms, dan Additional Profile</t>
  </si>
  <si>
    <t xml:space="preserve">Procurement Support</t>
  </si>
  <si>
    <t xml:space="preserve">Vendor berhasil tersimpan, seluruh field (bank account, payment terms) tersimpan dengan benar dan dapat ditemukan di list vendor</t>
  </si>
  <si>
    <t xml:space="preserve">Lihat list dan detail vendor, gunakan filter pencarian</t>
  </si>
  <si>
    <t xml:space="preserve">Procurement Buyer / Procurement Support</t>
  </si>
  <si>
    <t xml:space="preserve">List &amp; detail vendor tampil sesuai data yang diinput, filter berfungsi akurat</t>
  </si>
  <si>
    <t xml:space="preserve">Update data vendor existing (contact person, bank account, payment terms)</t>
  </si>
  <si>
    <t xml:space="preserve">Perubahan tersimpan dan langsung konsisten dipakai di transaksi PR/PO berikutnya</t>
  </si>
  <si>
    <t xml:space="preserve">Non-aktifkan (delete) vendor lalu cek status</t>
  </si>
  <si>
    <t xml:space="preserve">Vendor tidak terhapus permanen, status berubah menjadi non-active dan tidak muncul lagi sebagai pilihan di transaksi baru</t>
  </si>
  <si>
    <t xml:space="preserve">Item Master</t>
  </si>
  <si>
    <t xml:space="preserve">Create item baru dengan harga, currency, vendor, dan periode validity</t>
  </si>
  <si>
    <t xml:space="preserve">Item tersimpan dan otomatis muncul di Shopping Cart selama periode masih berlaku</t>
  </si>
  <si>
    <t xml:space="preserve">Lihat list &amp; detail Item Master, gunakan filter (Item Name, Category, Sub Category, Account Code)</t>
  </si>
  <si>
    <t xml:space="preserve">Procurement Buyer</t>
  </si>
  <si>
    <t xml:space="preserve">List &amp; detail item tampil sesuai data yang diinput, filter berfungsi akurat</t>
  </si>
  <si>
    <t xml:space="preserve">Update harga &amp; periode item master, lalu cek apakah tampil di Shopping Cart setelah expired</t>
  </si>
  <si>
    <t xml:space="preserve">Item dengan periode expired otomatis tidak tampil lagi di Shopping Cart</t>
  </si>
  <si>
    <t xml:space="preserve">Hapus (soft delete) Item Master lalu cek dampaknya ke Shopping Cart</t>
  </si>
  <si>
    <t xml:space="preserve">Item tidak terhapus permanen, item non-active tidak lagi bisa dipilih requestor di Shopping Cart</t>
  </si>
  <si>
    <t xml:space="preserve">Legend Status:</t>
  </si>
  <si>
    <t xml:space="preserve">Proses berjalan sesuai expected result, tidak ada gap</t>
  </si>
  <si>
    <t xml:space="preserve">Proses berjalan namun ada penyimpangan minor / workaround</t>
  </si>
  <si>
    <t xml:space="preserve">Proses tidak dapat dijalankan sesuai expected result / gap signifikan</t>
  </si>
  <si>
    <t xml:space="preserve">Skenario belum dijalankan saat trial</t>
  </si>
  <si>
    <t xml:space="preserve">Trial Lab – Shopping Cart</t>
  </si>
  <si>
    <t xml:space="preserve">Sumber: User Manual Shopping Cart v0.3</t>
  </si>
  <si>
    <t xml:space="preserve">Shopping Cart – PR</t>
  </si>
  <si>
    <t xml:space="preserve">Requestor create PR Shopping Cart dengan memilih item dari katalog Item Master</t>
  </si>
  <si>
    <t xml:space="preserve">Requestor</t>
  </si>
  <si>
    <t xml:space="preserve">PR tersimpan dengan nomor PR terbentuk otomatis, item &amp; harga sesuai Item Master, budget tervalidasi otomatis</t>
  </si>
  <si>
    <t xml:space="preserve">Shopping Cart – Approval</t>
  </si>
  <si>
    <t xml:space="preserve">Approver memproses approval PR Shopping Cart (Approve / Reject / Revise)</t>
  </si>
  <si>
    <t xml:space="preserve">Approver</t>
  </si>
  <si>
    <t xml:space="preserve">Approval berjalan sesuai approval flow/matriks, notifikasi email terkirim ke pihak terkait di setiap tahap</t>
  </si>
  <si>
    <t xml:space="preserve">Shopping Cart – Print Out</t>
  </si>
  <si>
    <t xml:space="preserve">Download print out PR Shopping Cart setelah full approve</t>
  </si>
  <si>
    <t xml:space="preserve">Requestor / Procurement Support</t>
  </si>
  <si>
    <t xml:space="preserve">Print out PR ter-generate otomatis dan hanya tersedia setelah status full approve</t>
  </si>
  <si>
    <t xml:space="preserve">Shopping Cart – Generate PO</t>
  </si>
  <si>
    <t xml:space="preserve">Generate Purchase Order dari PR Shopping Cart yang sudah full approve</t>
  </si>
  <si>
    <t xml:space="preserve">PO ter-generate otomatis dari PR, data (vendor, item, harga, budget) konsisten dengan PR tanpa input ulang manual</t>
  </si>
  <si>
    <t xml:space="preserve">Shopping Cart – Cancel/Revisi</t>
  </si>
  <si>
    <t xml:space="preserve">Cancel atau revisi PR Shopping Cart sebelum full approve</t>
  </si>
  <si>
    <t xml:space="preserve">PR yang belum full approve dapat dibatalkan/direvisi, status berubah sesuai aksi tanpa mempengaruhi data lain</t>
  </si>
  <si>
    <t xml:space="preserve">Trial Lab – Non-Shopping Cart PO</t>
  </si>
  <si>
    <t xml:space="preserve">Sumber: User Manual Non Shopping Cart PO v0.3</t>
  </si>
  <si>
    <t xml:space="preserve">PR Non-Shopping Cart</t>
  </si>
  <si>
    <t xml:space="preserve">Requestor create PR Non-Shopping Cart (input spesifikasi, quantity, delivery requirement)</t>
  </si>
  <si>
    <t xml:space="preserve">PR tersimpan dengan nomor PR otomatis, sistem cek Master Budget Management dan menandai Non Budget jika belum tersedia</t>
  </si>
  <si>
    <t xml:space="preserve">Cancel request PR sebelum diproses approval</t>
  </si>
  <si>
    <t xml:space="preserve">PR yang belum di-approve dapat dibatalkan, status berubah menjadi cancel</t>
  </si>
  <si>
    <t xml:space="preserve">Switch approver pada PR yang belum di-approve</t>
  </si>
  <si>
    <t xml:space="preserve">Approver dapat diganti sebelum ada aksi approval, notifikasi terkirim ke approver baru</t>
  </si>
  <si>
    <t xml:space="preserve">Approval PR oleh Approver (Approve/Reject/Revise)</t>
  </si>
  <si>
    <t xml:space="preserve">Approval berjalan sesuai matriks, PR revised kembali ke requestor untuk perbaikan</t>
  </si>
  <si>
    <t xml:space="preserve">Procurement Buyer – PRF</t>
  </si>
  <si>
    <t xml:space="preserve">Procurement Buyer memproses Purchase Request Form (PRF) dari PR yang sudah approved</t>
  </si>
  <si>
    <t xml:space="preserve">PRF terbentuk otomatis dari PR approved, seluruh data PR terbawa tanpa input ulang</t>
  </si>
  <si>
    <t xml:space="preserve">Procurement Buyer – Type Process &amp; Vendor</t>
  </si>
  <si>
    <t xml:space="preserve">Tentukan Type Process dan Candidate Vendor untuk PRF</t>
  </si>
  <si>
    <t xml:space="preserve">Vendor kandidat dapat dipilih dari Vendor Master, type process tersimpan dan menentukan alur berikutnya</t>
  </si>
  <si>
    <t xml:space="preserve">Procurement Buyer – Quotation</t>
  </si>
  <si>
    <t xml:space="preserve">Proses input Quotation dari Vendor</t>
  </si>
  <si>
    <t xml:space="preserve">Quotation tersimpan dan digunakan sebagai dasar harga di ProcSum</t>
  </si>
  <si>
    <t xml:space="preserve">Due Diligence (DD)</t>
  </si>
  <si>
    <t xml:space="preserve">Request Due Diligence untuk vendor baru / DD yang belum aktif, termasuk screening PEP</t>
  </si>
  <si>
    <t xml:space="preserve">Procurement Buyer / Compliance</t>
  </si>
  <si>
    <t xml:space="preserve">DD dapat diproses paralel dengan ProcSum, namun PO ter-lock oleh sistem jika status DD belum aktif/completed saat generate PO</t>
  </si>
  <si>
    <t xml:space="preserve">Due Diligence – PEP Process</t>
  </si>
  <si>
    <t xml:space="preserve">Compliance memproses hasil screening PEP (approve/reject)</t>
  </si>
  <si>
    <t xml:space="preserve">PIC Compliance</t>
  </si>
  <si>
    <t xml:space="preserve">Notifikasi email diterima Compliance saat ada hasil PEP, proses approve/reject tercatat dan mempengaruhi status DD</t>
  </si>
  <si>
    <t xml:space="preserve">PRF Vendor Enhancement</t>
  </si>
  <si>
    <t xml:space="preserve">Update/enhancement data vendor melalui PRF jika data vendor kurang lengkap</t>
  </si>
  <si>
    <t xml:space="preserve">Data vendor ter-update dan tersinkron dengan Vendor Master tanpa duplikasi data</t>
  </si>
  <si>
    <t xml:space="preserve">Generate ProcSum</t>
  </si>
  <si>
    <t xml:space="preserve">Procurement Buyer generate Procurement Summary (ProcSum) dari PRF &amp; Quotation</t>
  </si>
  <si>
    <t xml:space="preserve">ProcSum ter-generate dengan data vendor, harga, dan budget yang konsisten dengan proses sebelumnya</t>
  </si>
  <si>
    <t xml:space="preserve">Approval ProcSum</t>
  </si>
  <si>
    <t xml:space="preserve">Approver memproses approval ProcSum</t>
  </si>
  <si>
    <t xml:space="preserve">Approval berjalan sesuai matriks, ProcSum revised kembali ke Procurement Buyer jika perlu perbaikan</t>
  </si>
  <si>
    <t xml:space="preserve">Print Out ProcSum</t>
  </si>
  <si>
    <t xml:space="preserve">Download print out ProcSum &amp; ProcSum Approval Tracking</t>
  </si>
  <si>
    <t xml:space="preserve">Print out &amp; tracking approval ter-generate lengkap dan akurat sesuai histori approval</t>
  </si>
  <si>
    <t xml:space="preserve">Generate PO</t>
  </si>
  <si>
    <t xml:space="preserve">Generate Purchase Order dari ProcSum yang sudah full approve</t>
  </si>
  <si>
    <t xml:space="preserve">PO ter-generate otomatis, tervalidasi status DD aktif, data konsisten dengan ProcSum</t>
  </si>
  <si>
    <t xml:space="preserve">Approval PO oleh HOP</t>
  </si>
  <si>
    <t xml:space="preserve">HOP memproses approval PO</t>
  </si>
  <si>
    <t xml:space="preserve">HOP</t>
  </si>
  <si>
    <t xml:space="preserve">Approval PO berjalan sesuai matriks, notifikasi terkirim, PO berstatus approved dapat diteruskan ke proses finance</t>
  </si>
  <si>
    <t xml:space="preserve">Print Out PO</t>
  </si>
  <si>
    <t xml:space="preserve">Download print out PO yang sudah full approve</t>
  </si>
  <si>
    <t xml:space="preserve">Print out PO ter-generate lengkap sesuai data PO final</t>
  </si>
  <si>
    <t xml:space="preserve">Report PO</t>
  </si>
  <si>
    <t xml:space="preserve">Tracking &amp; export Report List PO (harian/mingguan/bulanan) dengan filter</t>
  </si>
  <si>
    <t xml:space="preserve">Export Excel berhasil, data lengkap dan sesuai filter (PR/PO status, department, vendor, dll)</t>
  </si>
  <si>
    <t xml:space="preserve">Trial Lab – Fokus Validasi Gap Phase 3</t>
  </si>
  <si>
    <t xml:space="preserve">Skenario khusus untuk memvalidasi gap utama Business Case Phase 3, dari sudut pandang tim Procurement</t>
  </si>
  <si>
    <t xml:space="preserve">Contract-to-Payment</t>
  </si>
  <si>
    <t xml:space="preserve">Telusuri transaksi PR/PO yang bersumber dari kontrak vendor aktif, amati apakah data kontrak (nilai, termin, vendor) terbawa otomatis ke PO tanpa input ulang manual oleh Procurement Buyer</t>
  </si>
  <si>
    <t xml:space="preserve">Data kontrak (~78% dari total spend) terhubung otomatis ke PO, Procurement Buyer tidak perlu input ulang nilai/termin kontrak secara manual</t>
  </si>
  <si>
    <t xml:space="preserve">Ratecard – Transaksi GL/PAP</t>
  </si>
  <si>
    <t xml:space="preserve">Buat transaksi ratecard melalui channel GL/PAP, amati apakah buyer harus input amount secara manual</t>
  </si>
  <si>
    <t xml:space="preserve">Sistem otomatis mengambil rate dari ratecard/kontrak, buyer tidak perlu input amount manual sehingga potensi selisih laporan berkurang</t>
  </si>
  <si>
    <t xml:space="preserve">Installment Monitoring</t>
  </si>
  <si>
    <t xml:space="preserve">Telusuri PO/kontrak dengan skema pembayaran termin (installment), amati apakah Procurement Support punya visibilitas progress pembayaran per termin</t>
  </si>
  <si>
    <t xml:space="preserve">Tersedia tampilan/monitoring progress installment (termin ke berapa, jatuh tempo, status on-time/telat) yang bisa diakses tim Procurement, sesuai Term of Payment yang disepakati</t>
  </si>
  <si>
    <t xml:space="preserve">Dashboard / Portfolio Overview</t>
  </si>
  <si>
    <t xml:space="preserve">Cek apakah tersedia dashboard yang menampilkan transaksi in-progress, total nilai, dan jumlah submission untuk tim Procurement</t>
  </si>
  <si>
    <t xml:space="preserve">Procurement Support / Procurement Buyer</t>
  </si>
  <si>
    <t xml:space="preserve">Tersedia dashboard portfolio yang menampilkan ringkasan transaksi in-progress, total value, dan submission count secara real-time tanpa perlu export manual ke Excel</t>
  </si>
  <si>
    <t xml:space="preserve">Gap Log Konsolidasi – Trial Lab FLIPS</t>
  </si>
  <si>
    <t xml:space="preserve">Pindahkan setiap baris berstatus Gap / Partial Gap dari sheet proses ke log ini untuk tindak lanjut</t>
  </si>
  <si>
    <t xml:space="preserve">Tanggal Trial</t>
  </si>
  <si>
    <t xml:space="preserve">Sheet / Proses Asal</t>
  </si>
  <si>
    <t xml:space="preserve">Modul</t>
  </si>
  <si>
    <t xml:space="preserve">Kategori PMO</t>
  </si>
  <si>
    <t xml:space="preserve">PIC Tindak Lanjut</t>
  </si>
  <si>
    <t xml:space="preserve">Target Selesai</t>
  </si>
  <si>
    <t xml:space="preserve">Status Tindak Lanjut</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</si>
</sst>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C00000"/>
      <name val="Arial"/>
      <family val="0"/>
      <charset val="1"/>
    </font>
    <font>
      <sz val="10"/>
      <name val="Arial"/>
      <family val="0"/>
      <charset val="1"/>
    </font>
    <font>
      <b val="true"/>
      <sz val="10"/>
      <name val="Arial"/>
      <family val="0"/>
      <charset val="1"/>
    </font>
    <font>
      <i val="true"/>
      <sz val="9"/>
      <color rgb="FF595959"/>
      <name val="Arial"/>
      <family val="0"/>
      <charset val="1"/>
    </font>
    <font>
      <b val="true"/>
      <sz val="10"/>
      <color rgb="FFFFFFFF"/>
      <name val="Arial"/>
      <family val="0"/>
      <charset val="1"/>
    </font>
    <font>
      <b val="true"/>
      <sz val="9"/>
      <color rgb="FF1E7145"/>
      <name val="Arial"/>
      <family val="0"/>
      <charset val="1"/>
    </font>
    <font>
      <b val="true"/>
      <sz val="9"/>
      <color rgb="FFBF8F00"/>
      <name val="Arial"/>
      <family val="0"/>
      <charset val="1"/>
    </font>
    <font>
      <b val="true"/>
      <sz val="9"/>
      <color rgb="FFC00000"/>
      <name val="Arial"/>
      <family val="0"/>
      <charset val="1"/>
    </font>
    <font>
      <b val="true"/>
      <sz val="9"/>
      <color rgb="FF80808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E7145"/>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36" hidden="false" customHeight="true" outlineLevel="0" collapsed="false">
      <c r="B5" s="4" t="s">
        <v>3</v>
      </c>
      <c r="C5" s="4"/>
    </row>
    <row r="7" customFormat="false" ht="15" hidden="false" customHeight="false" outlineLevel="0" collapsed="false">
      <c r="B7" s="3" t="s">
        <v>4</v>
      </c>
    </row>
    <row r="8" customFormat="false" ht="108" hidden="false" customHeight="true" outlineLevel="0" collapsed="false">
      <c r="B8" s="4" t="s">
        <v>5</v>
      </c>
      <c r="C8" s="4"/>
    </row>
    <row r="10" customFormat="false" ht="15" hidden="false" customHeight="false" outlineLevel="0" collapsed="false">
      <c r="B10" s="3" t="s">
        <v>6</v>
      </c>
    </row>
    <row r="11" customFormat="false" ht="144" hidden="false" customHeight="true" outlineLevel="0" collapsed="false">
      <c r="B11" s="4" t="s">
        <v>7</v>
      </c>
      <c r="C11" s="4"/>
    </row>
    <row r="13" customFormat="false" ht="15" hidden="false" customHeight="false" outlineLevel="0" collapsed="false">
      <c r="B13" s="3" t="s">
        <v>8</v>
      </c>
    </row>
    <row r="14" customFormat="false" ht="126" hidden="false" customHeight="true" outlineLevel="0" collapsed="false">
      <c r="B14" s="4" t="s">
        <v>9</v>
      </c>
      <c r="C14" s="4"/>
    </row>
    <row r="16" customFormat="false" ht="15" hidden="false" customHeight="false" outlineLevel="0" collapsed="false">
      <c r="B16" s="3" t="s">
        <v>10</v>
      </c>
    </row>
    <row r="17" customFormat="false" ht="36" hidden="false" customHeight="true" outlineLevel="0" collapsed="false">
      <c r="B17" s="4" t="s">
        <v>11</v>
      </c>
      <c r="C17" s="4"/>
    </row>
    <row r="20" customFormat="false" ht="15" hidden="false" customHeight="false" outlineLevel="0" collapsed="false">
      <c r="B20" s="5" t="s">
        <v>12</v>
      </c>
    </row>
    <row r="21" customFormat="false" ht="15" hidden="false" customHeight="false" outlineLevel="0" collapsed="false">
      <c r="B21" s="6" t="s">
        <v>13</v>
      </c>
    </row>
    <row r="22" customFormat="false" ht="15" hidden="false" customHeight="false" outlineLevel="0" collapsed="false">
      <c r="B22" s="6" t="s">
        <v>14</v>
      </c>
    </row>
    <row r="23" customFormat="false" ht="15" hidden="false" customHeight="false" outlineLevel="0" collapsed="false">
      <c r="B23" s="6" t="s">
        <v>15</v>
      </c>
    </row>
    <row r="24" customFormat="false" ht="15" hidden="false" customHeight="false" outlineLevel="0" collapsed="false">
      <c r="B24" s="6" t="s">
        <v>16</v>
      </c>
    </row>
  </sheetData>
  <mergeCells count="5">
    <mergeCell ref="B5:C5"/>
    <mergeCell ref="B8:C8"/>
    <mergeCell ref="B11:C11"/>
    <mergeCell ref="B14:C14"/>
    <mergeCell ref="B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7" min="3" style="0" width="16"/>
  </cols>
  <sheetData>
    <row r="1" customFormat="false" ht="17.35" hidden="false" customHeight="false" outlineLevel="0" collapsed="false">
      <c r="A1" s="1" t="s">
        <v>17</v>
      </c>
    </row>
    <row r="2" customFormat="false" ht="15" hidden="false" customHeight="false" outlineLevel="0" collapsed="false">
      <c r="A2" s="2" t="s">
        <v>18</v>
      </c>
    </row>
    <row r="4" customFormat="false" ht="15" hidden="false" customHeight="false" outlineLevel="0" collapsed="false">
      <c r="A4" s="7" t="s">
        <v>19</v>
      </c>
      <c r="B4" s="7" t="s">
        <v>20</v>
      </c>
      <c r="C4" s="7" t="s">
        <v>21</v>
      </c>
      <c r="D4" s="7" t="s">
        <v>22</v>
      </c>
      <c r="E4" s="7" t="s">
        <v>23</v>
      </c>
      <c r="F4" s="7" t="s">
        <v>24</v>
      </c>
      <c r="G4" s="7" t="s">
        <v>25</v>
      </c>
    </row>
    <row r="5" customFormat="false" ht="15" hidden="false" customHeight="false" outlineLevel="0" collapsed="false">
      <c r="A5" s="8" t="n">
        <v>1</v>
      </c>
      <c r="B5" s="8" t="s">
        <v>26</v>
      </c>
      <c r="C5" s="8" t="n">
        <f aca="false">COUNTIF('Master Vendor &amp; Item'!$G$5:$G$18,"Belum Diuji")</f>
        <v>0</v>
      </c>
      <c r="D5" s="8" t="n">
        <f aca="false">COUNTIF('Master Vendor &amp; Item'!$G$5:$G$18,"Sesuai")</f>
        <v>0</v>
      </c>
      <c r="E5" s="8" t="n">
        <f aca="false">COUNTIF('Master Vendor &amp; Item'!$G$5:$G$18,"Partial Gap")</f>
        <v>0</v>
      </c>
      <c r="F5" s="8" t="n">
        <f aca="false">COUNTIF('Master Vendor &amp; Item'!$G$5:$G$18,"Gap")</f>
        <v>0</v>
      </c>
      <c r="G5" s="8" t="n">
        <f aca="false">C5+D5+E5+F5</f>
        <v>0</v>
      </c>
    </row>
    <row r="6" customFormat="false" ht="15" hidden="false" customHeight="false" outlineLevel="0" collapsed="false">
      <c r="A6" s="8" t="n">
        <v>2</v>
      </c>
      <c r="B6" s="8" t="s">
        <v>27</v>
      </c>
      <c r="C6" s="8" t="n">
        <f aca="false">COUNTIF('Shopping Cart'!$G$5:$G$15,"Belum Diuji")</f>
        <v>0</v>
      </c>
      <c r="D6" s="8" t="n">
        <f aca="false">COUNTIF('Shopping Cart'!$G$5:$G$15,"Sesuai")</f>
        <v>0</v>
      </c>
      <c r="E6" s="8" t="n">
        <f aca="false">COUNTIF('Shopping Cart'!$G$5:$G$15,"Partial Gap")</f>
        <v>0</v>
      </c>
      <c r="F6" s="8" t="n">
        <f aca="false">COUNTIF('Shopping Cart'!$G$5:$G$15,"Gap")</f>
        <v>0</v>
      </c>
      <c r="G6" s="8" t="n">
        <f aca="false">C6+D6+E6+F6</f>
        <v>0</v>
      </c>
    </row>
    <row r="7" customFormat="false" ht="15" hidden="false" customHeight="false" outlineLevel="0" collapsed="false">
      <c r="A7" s="8" t="n">
        <v>3</v>
      </c>
      <c r="B7" s="8" t="s">
        <v>28</v>
      </c>
      <c r="C7" s="8" t="n">
        <f aca="false">COUNTIF('Non-Shopping Cart PO'!$G$5:$G$27,"Belum Diuji")</f>
        <v>0</v>
      </c>
      <c r="D7" s="8" t="n">
        <f aca="false">COUNTIF('Non-Shopping Cart PO'!$G$5:$G$27,"Sesuai")</f>
        <v>0</v>
      </c>
      <c r="E7" s="8" t="n">
        <f aca="false">COUNTIF('Non-Shopping Cart PO'!$G$5:$G$27,"Partial Gap")</f>
        <v>0</v>
      </c>
      <c r="F7" s="8" t="n">
        <f aca="false">COUNTIF('Non-Shopping Cart PO'!$G$5:$G$27,"Gap")</f>
        <v>0</v>
      </c>
      <c r="G7" s="8" t="n">
        <f aca="false">C7+D7+E7+F7</f>
        <v>0</v>
      </c>
    </row>
    <row r="8" customFormat="false" ht="15" hidden="false" customHeight="false" outlineLevel="0" collapsed="false">
      <c r="A8" s="8" t="n">
        <v>4</v>
      </c>
      <c r="B8" s="8" t="s">
        <v>29</v>
      </c>
      <c r="C8" s="8" t="n">
        <f aca="false">COUNTIF('Fokus Gap Phase 3'!$G$5:$G$14,"Belum Diuji")</f>
        <v>0</v>
      </c>
      <c r="D8" s="8" t="n">
        <f aca="false">COUNTIF('Fokus Gap Phase 3'!$G$5:$G$14,"Sesuai")</f>
        <v>0</v>
      </c>
      <c r="E8" s="8" t="n">
        <f aca="false">COUNTIF('Fokus Gap Phase 3'!$G$5:$G$14,"Partial Gap")</f>
        <v>0</v>
      </c>
      <c r="F8" s="8" t="n">
        <f aca="false">COUNTIF('Fokus Gap Phase 3'!$G$5:$G$14,"Gap")</f>
        <v>0</v>
      </c>
      <c r="G8" s="8" t="n">
        <f aca="false">C8+D8+E8+F8</f>
        <v>0</v>
      </c>
    </row>
    <row r="9" customFormat="false" ht="15" hidden="false" customHeight="false" outlineLevel="0" collapsed="false">
      <c r="A9" s="9"/>
      <c r="B9" s="5" t="s">
        <v>30</v>
      </c>
      <c r="C9" s="10" t="n">
        <f aca="false">SUM(C5:C8)</f>
        <v>0</v>
      </c>
      <c r="D9" s="10" t="n">
        <f aca="false">SUM(D5:D8)</f>
        <v>0</v>
      </c>
      <c r="E9" s="10" t="n">
        <f aca="false">SUM(E5:E8)</f>
        <v>0</v>
      </c>
      <c r="F9" s="10" t="n">
        <f aca="false">SUM(F5:F8)</f>
        <v>0</v>
      </c>
      <c r="G9" s="10" t="n">
        <f aca="false">SUM(G5:G8)</f>
        <v>0</v>
      </c>
    </row>
    <row r="12" customFormat="false" ht="30" hidden="false" customHeight="true" outlineLevel="0" collapsed="false">
      <c r="B12" s="11" t="s">
        <v>31</v>
      </c>
      <c r="C12" s="11"/>
      <c r="D12" s="11"/>
      <c r="E12" s="11"/>
      <c r="F12" s="11"/>
      <c r="G12" s="11"/>
    </row>
  </sheetData>
  <mergeCells count="1">
    <mergeCell ref="B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32</v>
      </c>
    </row>
    <row r="2" customFormat="false" ht="15" hidden="false" customHeight="false" outlineLevel="0" collapsed="false">
      <c r="A2" s="2" t="s">
        <v>33</v>
      </c>
    </row>
    <row r="4" customFormat="false" ht="30" hidden="false" customHeight="true" outlineLevel="0" collapsed="false">
      <c r="A4" s="7" t="s">
        <v>19</v>
      </c>
      <c r="B4" s="7" t="s">
        <v>34</v>
      </c>
      <c r="C4" s="7" t="s">
        <v>35</v>
      </c>
      <c r="D4" s="7" t="s">
        <v>36</v>
      </c>
      <c r="E4" s="7" t="s">
        <v>37</v>
      </c>
      <c r="F4" s="7" t="s">
        <v>38</v>
      </c>
      <c r="G4" s="7" t="s">
        <v>39</v>
      </c>
      <c r="H4" s="7" t="s">
        <v>40</v>
      </c>
      <c r="I4" s="7" t="s">
        <v>41</v>
      </c>
      <c r="J4" s="7" t="s">
        <v>42</v>
      </c>
      <c r="K4" s="7" t="s">
        <v>43</v>
      </c>
      <c r="L4" s="7" t="s">
        <v>44</v>
      </c>
    </row>
    <row r="5" customFormat="false" ht="46.25" hidden="false" customHeight="false" outlineLevel="0" collapsed="false">
      <c r="A5" s="8" t="n">
        <v>1</v>
      </c>
      <c r="B5" s="12" t="s">
        <v>45</v>
      </c>
      <c r="C5" s="12" t="s">
        <v>46</v>
      </c>
      <c r="D5" s="8" t="s">
        <v>47</v>
      </c>
      <c r="E5" s="12" t="s">
        <v>48</v>
      </c>
      <c r="F5" s="12"/>
      <c r="G5" s="8"/>
      <c r="H5" s="12"/>
      <c r="I5" s="12"/>
      <c r="J5" s="8"/>
      <c r="K5" s="12"/>
      <c r="L5" s="12"/>
    </row>
    <row r="6" customFormat="false" ht="23.85" hidden="false" customHeight="false" outlineLevel="0" collapsed="false">
      <c r="A6" s="8" t="n">
        <v>2</v>
      </c>
      <c r="B6" s="12" t="s">
        <v>45</v>
      </c>
      <c r="C6" s="12" t="s">
        <v>49</v>
      </c>
      <c r="D6" s="8" t="s">
        <v>50</v>
      </c>
      <c r="E6" s="12" t="s">
        <v>51</v>
      </c>
      <c r="F6" s="12"/>
      <c r="G6" s="8"/>
      <c r="H6" s="12"/>
      <c r="I6" s="12"/>
      <c r="J6" s="8"/>
      <c r="K6" s="12"/>
      <c r="L6" s="12"/>
    </row>
    <row r="7" customFormat="false" ht="35.05" hidden="false" customHeight="false" outlineLevel="0" collapsed="false">
      <c r="A7" s="8" t="n">
        <v>3</v>
      </c>
      <c r="B7" s="12" t="s">
        <v>45</v>
      </c>
      <c r="C7" s="12" t="s">
        <v>52</v>
      </c>
      <c r="D7" s="8" t="s">
        <v>47</v>
      </c>
      <c r="E7" s="12" t="s">
        <v>53</v>
      </c>
      <c r="F7" s="12"/>
      <c r="G7" s="8"/>
      <c r="H7" s="12"/>
      <c r="I7" s="12"/>
      <c r="J7" s="8"/>
      <c r="K7" s="12"/>
      <c r="L7" s="12"/>
    </row>
    <row r="8" customFormat="false" ht="46.25" hidden="false" customHeight="false" outlineLevel="0" collapsed="false">
      <c r="A8" s="8" t="n">
        <v>4</v>
      </c>
      <c r="B8" s="12" t="s">
        <v>45</v>
      </c>
      <c r="C8" s="12" t="s">
        <v>54</v>
      </c>
      <c r="D8" s="8" t="s">
        <v>47</v>
      </c>
      <c r="E8" s="12" t="s">
        <v>55</v>
      </c>
      <c r="F8" s="12"/>
      <c r="G8" s="8"/>
      <c r="H8" s="12"/>
      <c r="I8" s="12"/>
      <c r="J8" s="8"/>
      <c r="K8" s="12"/>
      <c r="L8" s="12"/>
    </row>
    <row r="9" customFormat="false" ht="35.05" hidden="false" customHeight="false" outlineLevel="0" collapsed="false">
      <c r="A9" s="8" t="n">
        <v>5</v>
      </c>
      <c r="B9" s="12" t="s">
        <v>56</v>
      </c>
      <c r="C9" s="12" t="s">
        <v>57</v>
      </c>
      <c r="D9" s="8" t="s">
        <v>50</v>
      </c>
      <c r="E9" s="12" t="s">
        <v>58</v>
      </c>
      <c r="F9" s="12"/>
      <c r="G9" s="8"/>
      <c r="H9" s="12"/>
      <c r="I9" s="12"/>
      <c r="J9" s="8"/>
      <c r="K9" s="12"/>
      <c r="L9" s="12"/>
    </row>
    <row r="10" customFormat="false" ht="23.85" hidden="false" customHeight="false" outlineLevel="0" collapsed="false">
      <c r="A10" s="8" t="n">
        <v>6</v>
      </c>
      <c r="B10" s="12" t="s">
        <v>56</v>
      </c>
      <c r="C10" s="12" t="s">
        <v>59</v>
      </c>
      <c r="D10" s="8" t="s">
        <v>60</v>
      </c>
      <c r="E10" s="12" t="s">
        <v>61</v>
      </c>
      <c r="F10" s="12"/>
      <c r="G10" s="8"/>
      <c r="H10" s="12"/>
      <c r="I10" s="12"/>
      <c r="J10" s="8"/>
      <c r="K10" s="12"/>
      <c r="L10" s="12"/>
    </row>
    <row r="11" customFormat="false" ht="23.85" hidden="false" customHeight="false" outlineLevel="0" collapsed="false">
      <c r="A11" s="8" t="n">
        <v>7</v>
      </c>
      <c r="B11" s="12" t="s">
        <v>56</v>
      </c>
      <c r="C11" s="12" t="s">
        <v>62</v>
      </c>
      <c r="D11" s="8" t="s">
        <v>47</v>
      </c>
      <c r="E11" s="12" t="s">
        <v>63</v>
      </c>
      <c r="F11" s="12"/>
      <c r="G11" s="8"/>
      <c r="H11" s="12"/>
      <c r="I11" s="12"/>
      <c r="J11" s="8"/>
      <c r="K11" s="12"/>
      <c r="L11" s="12"/>
    </row>
    <row r="12" customFormat="false" ht="35.05" hidden="false" customHeight="false" outlineLevel="0" collapsed="false">
      <c r="A12" s="8" t="n">
        <v>8</v>
      </c>
      <c r="B12" s="12" t="s">
        <v>56</v>
      </c>
      <c r="C12" s="12" t="s">
        <v>64</v>
      </c>
      <c r="D12" s="8" t="s">
        <v>47</v>
      </c>
      <c r="E12" s="12" t="s">
        <v>65</v>
      </c>
      <c r="F12" s="12"/>
      <c r="G12" s="8"/>
      <c r="H12" s="12"/>
      <c r="I12" s="12"/>
      <c r="J12" s="8"/>
      <c r="K12" s="12"/>
      <c r="L12" s="12"/>
    </row>
    <row r="13" customFormat="false" ht="15" hidden="false" customHeight="false" outlineLevel="0" collapsed="false">
      <c r="A13" s="8"/>
      <c r="B13" s="12"/>
      <c r="C13" s="12"/>
      <c r="D13" s="8"/>
      <c r="E13" s="12"/>
      <c r="F13" s="12"/>
      <c r="G13" s="8"/>
      <c r="H13" s="12"/>
      <c r="I13" s="12"/>
      <c r="J13" s="8"/>
      <c r="K13" s="12"/>
      <c r="L13" s="12"/>
    </row>
    <row r="14" customFormat="false" ht="15" hidden="false" customHeight="false" outlineLevel="0" collapsed="false">
      <c r="A14" s="8"/>
      <c r="B14" s="12"/>
      <c r="C14" s="12"/>
      <c r="D14" s="8"/>
      <c r="E14" s="12"/>
      <c r="F14" s="12"/>
      <c r="G14" s="8"/>
      <c r="H14" s="12"/>
      <c r="I14" s="12"/>
      <c r="J14" s="8"/>
      <c r="K14" s="12"/>
      <c r="L14" s="12"/>
    </row>
    <row r="15" customFormat="false" ht="15" hidden="false" customHeight="false" outlineLevel="0" collapsed="false">
      <c r="A15" s="8"/>
      <c r="B15" s="12"/>
      <c r="C15" s="12"/>
      <c r="D15" s="8"/>
      <c r="E15" s="12"/>
      <c r="F15" s="12"/>
      <c r="G15" s="8"/>
      <c r="H15" s="12"/>
      <c r="I15" s="12"/>
      <c r="J15" s="8"/>
      <c r="K15" s="12"/>
      <c r="L15" s="12"/>
    </row>
    <row r="16" customFormat="false" ht="15" hidden="false" customHeight="false" outlineLevel="0" collapsed="false">
      <c r="A16" s="8"/>
      <c r="B16" s="12"/>
      <c r="C16" s="12"/>
      <c r="D16" s="8"/>
      <c r="E16" s="12"/>
      <c r="F16" s="12"/>
      <c r="G16" s="8"/>
      <c r="H16" s="12"/>
      <c r="I16" s="12"/>
      <c r="J16" s="8"/>
      <c r="K16" s="12"/>
      <c r="L16" s="12"/>
    </row>
    <row r="17" customFormat="false" ht="15" hidden="false" customHeight="false" outlineLevel="0" collapsed="false">
      <c r="A17" s="8"/>
      <c r="B17" s="12"/>
      <c r="C17" s="12"/>
      <c r="D17" s="8"/>
      <c r="E17" s="12"/>
      <c r="F17" s="12"/>
      <c r="G17" s="8"/>
      <c r="H17" s="12"/>
      <c r="I17" s="12"/>
      <c r="J17" s="8"/>
      <c r="K17" s="12"/>
      <c r="L17" s="12"/>
    </row>
    <row r="18" customFormat="false" ht="15" hidden="false" customHeight="false" outlineLevel="0" collapsed="false">
      <c r="A18" s="8"/>
      <c r="B18" s="12"/>
      <c r="C18" s="12"/>
      <c r="D18" s="8"/>
      <c r="E18" s="12"/>
      <c r="F18" s="12"/>
      <c r="G18" s="8"/>
      <c r="H18" s="12"/>
      <c r="I18" s="12"/>
      <c r="J18" s="8"/>
      <c r="K18" s="12"/>
      <c r="L18" s="12"/>
    </row>
    <row r="20" customFormat="false" ht="15" hidden="false" customHeight="false" outlineLevel="0" collapsed="false">
      <c r="B20" s="5" t="s">
        <v>66</v>
      </c>
    </row>
    <row r="21" customFormat="false" ht="15" hidden="false" customHeight="false" outlineLevel="0" collapsed="false">
      <c r="B21" s="13" t="s">
        <v>22</v>
      </c>
      <c r="C21" s="6" t="s">
        <v>67</v>
      </c>
    </row>
    <row r="22" customFormat="false" ht="15" hidden="false" customHeight="false" outlineLevel="0" collapsed="false">
      <c r="B22" s="14" t="s">
        <v>23</v>
      </c>
      <c r="C22" s="6" t="s">
        <v>68</v>
      </c>
    </row>
    <row r="23" customFormat="false" ht="15" hidden="false" customHeight="false" outlineLevel="0" collapsed="false">
      <c r="B23" s="15" t="s">
        <v>24</v>
      </c>
      <c r="C23" s="6" t="s">
        <v>69</v>
      </c>
    </row>
    <row r="24" customFormat="false" ht="15" hidden="false" customHeight="false" outlineLevel="0" collapsed="false">
      <c r="B24" s="16" t="s">
        <v>21</v>
      </c>
      <c r="C24" s="6" t="s">
        <v>70</v>
      </c>
    </row>
  </sheetData>
  <dataValidations count="2">
    <dataValidation allowBlank="true" error="Pilih salah satu: Belum Diuji, Sesuai, Partial Gap, Gap" errorStyle="stop" operator="between" prompt="Pilih status hasil pengujian" showDropDown="false" showErrorMessage="false" showInputMessage="false" sqref="G5:G18"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18"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71</v>
      </c>
    </row>
    <row r="2" customFormat="false" ht="15" hidden="false" customHeight="false" outlineLevel="0" collapsed="false">
      <c r="A2" s="2" t="s">
        <v>72</v>
      </c>
    </row>
    <row r="4" customFormat="false" ht="30" hidden="false" customHeight="true" outlineLevel="0" collapsed="false">
      <c r="A4" s="7" t="s">
        <v>19</v>
      </c>
      <c r="B4" s="7" t="s">
        <v>34</v>
      </c>
      <c r="C4" s="7" t="s">
        <v>35</v>
      </c>
      <c r="D4" s="7" t="s">
        <v>36</v>
      </c>
      <c r="E4" s="7" t="s">
        <v>37</v>
      </c>
      <c r="F4" s="7" t="s">
        <v>38</v>
      </c>
      <c r="G4" s="7" t="s">
        <v>39</v>
      </c>
      <c r="H4" s="7" t="s">
        <v>40</v>
      </c>
      <c r="I4" s="7" t="s">
        <v>41</v>
      </c>
      <c r="J4" s="7" t="s">
        <v>42</v>
      </c>
      <c r="K4" s="7" t="s">
        <v>43</v>
      </c>
      <c r="L4" s="7" t="s">
        <v>44</v>
      </c>
    </row>
    <row r="5" customFormat="false" ht="35.05" hidden="false" customHeight="false" outlineLevel="0" collapsed="false">
      <c r="A5" s="8" t="n">
        <v>1</v>
      </c>
      <c r="B5" s="12" t="s">
        <v>73</v>
      </c>
      <c r="C5" s="12" t="s">
        <v>74</v>
      </c>
      <c r="D5" s="8" t="s">
        <v>75</v>
      </c>
      <c r="E5" s="12" t="s">
        <v>76</v>
      </c>
      <c r="F5" s="12"/>
      <c r="G5" s="8"/>
      <c r="H5" s="12"/>
      <c r="I5" s="12"/>
      <c r="J5" s="8"/>
      <c r="K5" s="12"/>
      <c r="L5" s="12"/>
    </row>
    <row r="6" customFormat="false" ht="35.05" hidden="false" customHeight="false" outlineLevel="0" collapsed="false">
      <c r="A6" s="8" t="n">
        <v>2</v>
      </c>
      <c r="B6" s="12" t="s">
        <v>77</v>
      </c>
      <c r="C6" s="12" t="s">
        <v>78</v>
      </c>
      <c r="D6" s="8" t="s">
        <v>79</v>
      </c>
      <c r="E6" s="12" t="s">
        <v>80</v>
      </c>
      <c r="F6" s="12"/>
      <c r="G6" s="8"/>
      <c r="H6" s="12"/>
      <c r="I6" s="12"/>
      <c r="J6" s="8"/>
      <c r="K6" s="12"/>
      <c r="L6" s="12"/>
    </row>
    <row r="7" customFormat="false" ht="23.85" hidden="false" customHeight="false" outlineLevel="0" collapsed="false">
      <c r="A7" s="8" t="n">
        <v>3</v>
      </c>
      <c r="B7" s="12" t="s">
        <v>81</v>
      </c>
      <c r="C7" s="12" t="s">
        <v>82</v>
      </c>
      <c r="D7" s="8" t="s">
        <v>83</v>
      </c>
      <c r="E7" s="12" t="s">
        <v>84</v>
      </c>
      <c r="F7" s="12"/>
      <c r="G7" s="8"/>
      <c r="H7" s="12"/>
      <c r="I7" s="12"/>
      <c r="J7" s="8"/>
      <c r="K7" s="12"/>
      <c r="L7" s="12"/>
    </row>
    <row r="8" customFormat="false" ht="35.05" hidden="false" customHeight="false" outlineLevel="0" collapsed="false">
      <c r="A8" s="8" t="n">
        <v>4</v>
      </c>
      <c r="B8" s="12" t="s">
        <v>85</v>
      </c>
      <c r="C8" s="12" t="s">
        <v>86</v>
      </c>
      <c r="D8" s="8" t="s">
        <v>60</v>
      </c>
      <c r="E8" s="12" t="s">
        <v>87</v>
      </c>
      <c r="F8" s="12"/>
      <c r="G8" s="8"/>
      <c r="H8" s="12"/>
      <c r="I8" s="12"/>
      <c r="J8" s="8"/>
      <c r="K8" s="12"/>
      <c r="L8" s="12"/>
    </row>
    <row r="9" customFormat="false" ht="35.05" hidden="false" customHeight="false" outlineLevel="0" collapsed="false">
      <c r="A9" s="8" t="n">
        <v>5</v>
      </c>
      <c r="B9" s="12" t="s">
        <v>88</v>
      </c>
      <c r="C9" s="12" t="s">
        <v>89</v>
      </c>
      <c r="D9" s="8" t="s">
        <v>75</v>
      </c>
      <c r="E9" s="12" t="s">
        <v>90</v>
      </c>
      <c r="F9" s="12"/>
      <c r="G9" s="8"/>
      <c r="H9" s="12"/>
      <c r="I9" s="12"/>
      <c r="J9" s="8"/>
      <c r="K9" s="12"/>
      <c r="L9" s="12"/>
    </row>
    <row r="10" customFormat="false" ht="15" hidden="false" customHeight="false" outlineLevel="0" collapsed="false">
      <c r="A10" s="8"/>
      <c r="B10" s="12"/>
      <c r="C10" s="12"/>
      <c r="D10" s="8"/>
      <c r="E10" s="12"/>
      <c r="F10" s="12"/>
      <c r="G10" s="8"/>
      <c r="H10" s="12"/>
      <c r="I10" s="12"/>
      <c r="J10" s="8"/>
      <c r="K10" s="12"/>
      <c r="L10" s="12"/>
    </row>
    <row r="11" customFormat="false" ht="15" hidden="false" customHeight="false" outlineLevel="0" collapsed="false">
      <c r="A11" s="8"/>
      <c r="B11" s="12"/>
      <c r="C11" s="12"/>
      <c r="D11" s="8"/>
      <c r="E11" s="12"/>
      <c r="F11" s="12"/>
      <c r="G11" s="8"/>
      <c r="H11" s="12"/>
      <c r="I11" s="12"/>
      <c r="J11" s="8"/>
      <c r="K11" s="12"/>
      <c r="L11" s="12"/>
    </row>
    <row r="12" customFormat="false" ht="15" hidden="false" customHeight="false" outlineLevel="0" collapsed="false">
      <c r="A12" s="8"/>
      <c r="B12" s="12"/>
      <c r="C12" s="12"/>
      <c r="D12" s="8"/>
      <c r="E12" s="12"/>
      <c r="F12" s="12"/>
      <c r="G12" s="8"/>
      <c r="H12" s="12"/>
      <c r="I12" s="12"/>
      <c r="J12" s="8"/>
      <c r="K12" s="12"/>
      <c r="L12" s="12"/>
    </row>
    <row r="13" customFormat="false" ht="15" hidden="false" customHeight="false" outlineLevel="0" collapsed="false">
      <c r="A13" s="8"/>
      <c r="B13" s="12"/>
      <c r="C13" s="12"/>
      <c r="D13" s="8"/>
      <c r="E13" s="12"/>
      <c r="F13" s="12"/>
      <c r="G13" s="8"/>
      <c r="H13" s="12"/>
      <c r="I13" s="12"/>
      <c r="J13" s="8"/>
      <c r="K13" s="12"/>
      <c r="L13" s="12"/>
    </row>
    <row r="14" customFormat="false" ht="15" hidden="false" customHeight="false" outlineLevel="0" collapsed="false">
      <c r="A14" s="8"/>
      <c r="B14" s="12"/>
      <c r="C14" s="12"/>
      <c r="D14" s="8"/>
      <c r="E14" s="12"/>
      <c r="F14" s="12"/>
      <c r="G14" s="8"/>
      <c r="H14" s="12"/>
      <c r="I14" s="12"/>
      <c r="J14" s="8"/>
      <c r="K14" s="12"/>
      <c r="L14" s="12"/>
    </row>
    <row r="15" customFormat="false" ht="15" hidden="false" customHeight="false" outlineLevel="0" collapsed="false">
      <c r="A15" s="8"/>
      <c r="B15" s="12"/>
      <c r="C15" s="12"/>
      <c r="D15" s="8"/>
      <c r="E15" s="12"/>
      <c r="F15" s="12"/>
      <c r="G15" s="8"/>
      <c r="H15" s="12"/>
      <c r="I15" s="12"/>
      <c r="J15" s="8"/>
      <c r="K15" s="12"/>
      <c r="L15" s="12"/>
    </row>
    <row r="17" customFormat="false" ht="15" hidden="false" customHeight="false" outlineLevel="0" collapsed="false">
      <c r="B17" s="5" t="s">
        <v>66</v>
      </c>
    </row>
    <row r="18" customFormat="false" ht="15" hidden="false" customHeight="false" outlineLevel="0" collapsed="false">
      <c r="B18" s="13" t="s">
        <v>22</v>
      </c>
      <c r="C18" s="6" t="s">
        <v>67</v>
      </c>
    </row>
    <row r="19" customFormat="false" ht="15" hidden="false" customHeight="false" outlineLevel="0" collapsed="false">
      <c r="B19" s="14" t="s">
        <v>23</v>
      </c>
      <c r="C19" s="6" t="s">
        <v>68</v>
      </c>
    </row>
    <row r="20" customFormat="false" ht="15" hidden="false" customHeight="false" outlineLevel="0" collapsed="false">
      <c r="B20" s="15" t="s">
        <v>24</v>
      </c>
      <c r="C20" s="6" t="s">
        <v>69</v>
      </c>
    </row>
    <row r="21" customFormat="false" ht="15" hidden="false" customHeight="false" outlineLevel="0" collapsed="false">
      <c r="B21" s="16" t="s">
        <v>21</v>
      </c>
      <c r="C21" s="6" t="s">
        <v>70</v>
      </c>
    </row>
  </sheetData>
  <dataValidations count="2">
    <dataValidation allowBlank="true" error="Pilih salah satu: Belum Diuji, Sesuai, Partial Gap, Gap" errorStyle="stop" operator="between" prompt="Pilih status hasil pengujian" showDropDown="false" showErrorMessage="false" showInputMessage="false" sqref="G5:G15"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1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91</v>
      </c>
    </row>
    <row r="2" customFormat="false" ht="15" hidden="false" customHeight="false" outlineLevel="0" collapsed="false">
      <c r="A2" s="2" t="s">
        <v>92</v>
      </c>
    </row>
    <row r="4" customFormat="false" ht="30" hidden="false" customHeight="true" outlineLevel="0" collapsed="false">
      <c r="A4" s="7" t="s">
        <v>19</v>
      </c>
      <c r="B4" s="7" t="s">
        <v>34</v>
      </c>
      <c r="C4" s="7" t="s">
        <v>35</v>
      </c>
      <c r="D4" s="7" t="s">
        <v>36</v>
      </c>
      <c r="E4" s="7" t="s">
        <v>37</v>
      </c>
      <c r="F4" s="7" t="s">
        <v>38</v>
      </c>
      <c r="G4" s="7" t="s">
        <v>39</v>
      </c>
      <c r="H4" s="7" t="s">
        <v>40</v>
      </c>
      <c r="I4" s="7" t="s">
        <v>41</v>
      </c>
      <c r="J4" s="7" t="s">
        <v>42</v>
      </c>
      <c r="K4" s="7" t="s">
        <v>43</v>
      </c>
      <c r="L4" s="7" t="s">
        <v>44</v>
      </c>
    </row>
    <row r="5" customFormat="false" ht="46.25" hidden="false" customHeight="false" outlineLevel="0" collapsed="false">
      <c r="A5" s="8" t="n">
        <v>1</v>
      </c>
      <c r="B5" s="12" t="s">
        <v>93</v>
      </c>
      <c r="C5" s="12" t="s">
        <v>94</v>
      </c>
      <c r="D5" s="8" t="s">
        <v>75</v>
      </c>
      <c r="E5" s="12" t="s">
        <v>95</v>
      </c>
      <c r="F5" s="12"/>
      <c r="G5" s="8"/>
      <c r="H5" s="12"/>
      <c r="I5" s="12"/>
      <c r="J5" s="8"/>
      <c r="K5" s="12"/>
      <c r="L5" s="12"/>
    </row>
    <row r="6" customFormat="false" ht="35.05" hidden="false" customHeight="false" outlineLevel="0" collapsed="false">
      <c r="A6" s="8" t="n">
        <v>2</v>
      </c>
      <c r="B6" s="12" t="s">
        <v>93</v>
      </c>
      <c r="C6" s="12" t="s">
        <v>96</v>
      </c>
      <c r="D6" s="8" t="s">
        <v>75</v>
      </c>
      <c r="E6" s="12" t="s">
        <v>97</v>
      </c>
      <c r="F6" s="12"/>
      <c r="G6" s="8"/>
      <c r="H6" s="12"/>
      <c r="I6" s="12"/>
      <c r="J6" s="8"/>
      <c r="K6" s="12"/>
      <c r="L6" s="12"/>
    </row>
    <row r="7" customFormat="false" ht="35.05" hidden="false" customHeight="false" outlineLevel="0" collapsed="false">
      <c r="A7" s="8" t="n">
        <v>3</v>
      </c>
      <c r="B7" s="12" t="s">
        <v>93</v>
      </c>
      <c r="C7" s="12" t="s">
        <v>98</v>
      </c>
      <c r="D7" s="8" t="s">
        <v>75</v>
      </c>
      <c r="E7" s="12" t="s">
        <v>99</v>
      </c>
      <c r="F7" s="12"/>
      <c r="G7" s="8"/>
      <c r="H7" s="12"/>
      <c r="I7" s="12"/>
      <c r="J7" s="8"/>
      <c r="K7" s="12"/>
      <c r="L7" s="12"/>
    </row>
    <row r="8" customFormat="false" ht="35.05" hidden="false" customHeight="false" outlineLevel="0" collapsed="false">
      <c r="A8" s="8" t="n">
        <v>4</v>
      </c>
      <c r="B8" s="12" t="s">
        <v>93</v>
      </c>
      <c r="C8" s="12" t="s">
        <v>100</v>
      </c>
      <c r="D8" s="8" t="s">
        <v>79</v>
      </c>
      <c r="E8" s="12" t="s">
        <v>101</v>
      </c>
      <c r="F8" s="12"/>
      <c r="G8" s="8"/>
      <c r="H8" s="12"/>
      <c r="I8" s="12"/>
      <c r="J8" s="8"/>
      <c r="K8" s="12"/>
      <c r="L8" s="12"/>
    </row>
    <row r="9" customFormat="false" ht="35.05" hidden="false" customHeight="false" outlineLevel="0" collapsed="false">
      <c r="A9" s="8" t="n">
        <v>5</v>
      </c>
      <c r="B9" s="12" t="s">
        <v>102</v>
      </c>
      <c r="C9" s="12" t="s">
        <v>103</v>
      </c>
      <c r="D9" s="8" t="s">
        <v>60</v>
      </c>
      <c r="E9" s="12" t="s">
        <v>104</v>
      </c>
      <c r="F9" s="12"/>
      <c r="G9" s="8"/>
      <c r="H9" s="12"/>
      <c r="I9" s="12"/>
      <c r="J9" s="8"/>
      <c r="K9" s="12"/>
      <c r="L9" s="12"/>
    </row>
    <row r="10" customFormat="false" ht="35.05" hidden="false" customHeight="false" outlineLevel="0" collapsed="false">
      <c r="A10" s="8" t="n">
        <v>6</v>
      </c>
      <c r="B10" s="12" t="s">
        <v>105</v>
      </c>
      <c r="C10" s="12" t="s">
        <v>106</v>
      </c>
      <c r="D10" s="8" t="s">
        <v>60</v>
      </c>
      <c r="E10" s="12" t="s">
        <v>107</v>
      </c>
      <c r="F10" s="12"/>
      <c r="G10" s="8"/>
      <c r="H10" s="12"/>
      <c r="I10" s="12"/>
      <c r="J10" s="8"/>
      <c r="K10" s="12"/>
      <c r="L10" s="12"/>
    </row>
    <row r="11" customFormat="false" ht="23.85" hidden="false" customHeight="false" outlineLevel="0" collapsed="false">
      <c r="A11" s="8" t="n">
        <v>7</v>
      </c>
      <c r="B11" s="12" t="s">
        <v>108</v>
      </c>
      <c r="C11" s="12" t="s">
        <v>109</v>
      </c>
      <c r="D11" s="8" t="s">
        <v>60</v>
      </c>
      <c r="E11" s="12" t="s">
        <v>110</v>
      </c>
      <c r="F11" s="12"/>
      <c r="G11" s="8"/>
      <c r="H11" s="12"/>
      <c r="I11" s="12"/>
      <c r="J11" s="8"/>
      <c r="K11" s="12"/>
      <c r="L11" s="12"/>
    </row>
    <row r="12" customFormat="false" ht="46.25" hidden="false" customHeight="false" outlineLevel="0" collapsed="false">
      <c r="A12" s="8" t="n">
        <v>8</v>
      </c>
      <c r="B12" s="12" t="s">
        <v>111</v>
      </c>
      <c r="C12" s="12" t="s">
        <v>112</v>
      </c>
      <c r="D12" s="8" t="s">
        <v>113</v>
      </c>
      <c r="E12" s="12" t="s">
        <v>114</v>
      </c>
      <c r="F12" s="12"/>
      <c r="G12" s="8"/>
      <c r="H12" s="12"/>
      <c r="I12" s="12"/>
      <c r="J12" s="8"/>
      <c r="K12" s="12"/>
      <c r="L12" s="12"/>
    </row>
    <row r="13" customFormat="false" ht="35.05" hidden="false" customHeight="false" outlineLevel="0" collapsed="false">
      <c r="A13" s="8" t="n">
        <v>9</v>
      </c>
      <c r="B13" s="12" t="s">
        <v>115</v>
      </c>
      <c r="C13" s="12" t="s">
        <v>116</v>
      </c>
      <c r="D13" s="8" t="s">
        <v>117</v>
      </c>
      <c r="E13" s="12" t="s">
        <v>118</v>
      </c>
      <c r="F13" s="12"/>
      <c r="G13" s="8"/>
      <c r="H13" s="12"/>
      <c r="I13" s="12"/>
      <c r="J13" s="8"/>
      <c r="K13" s="12"/>
      <c r="L13" s="12"/>
    </row>
    <row r="14" customFormat="false" ht="35.05" hidden="false" customHeight="false" outlineLevel="0" collapsed="false">
      <c r="A14" s="8" t="n">
        <v>10</v>
      </c>
      <c r="B14" s="12" t="s">
        <v>119</v>
      </c>
      <c r="C14" s="12" t="s">
        <v>120</v>
      </c>
      <c r="D14" s="8" t="s">
        <v>60</v>
      </c>
      <c r="E14" s="12" t="s">
        <v>121</v>
      </c>
      <c r="F14" s="12"/>
      <c r="G14" s="8"/>
      <c r="H14" s="12"/>
      <c r="I14" s="12"/>
      <c r="J14" s="8"/>
      <c r="K14" s="12"/>
      <c r="L14" s="12"/>
    </row>
    <row r="15" customFormat="false" ht="35.05" hidden="false" customHeight="false" outlineLevel="0" collapsed="false">
      <c r="A15" s="8" t="n">
        <v>11</v>
      </c>
      <c r="B15" s="12" t="s">
        <v>122</v>
      </c>
      <c r="C15" s="12" t="s">
        <v>123</v>
      </c>
      <c r="D15" s="8" t="s">
        <v>60</v>
      </c>
      <c r="E15" s="12" t="s">
        <v>124</v>
      </c>
      <c r="F15" s="12"/>
      <c r="G15" s="8"/>
      <c r="H15" s="12"/>
      <c r="I15" s="12"/>
      <c r="J15" s="8"/>
      <c r="K15" s="12"/>
      <c r="L15" s="12"/>
    </row>
    <row r="16" customFormat="false" ht="35.05" hidden="false" customHeight="false" outlineLevel="0" collapsed="false">
      <c r="A16" s="8" t="n">
        <v>12</v>
      </c>
      <c r="B16" s="12" t="s">
        <v>125</v>
      </c>
      <c r="C16" s="12" t="s">
        <v>126</v>
      </c>
      <c r="D16" s="8" t="s">
        <v>79</v>
      </c>
      <c r="E16" s="12" t="s">
        <v>127</v>
      </c>
      <c r="F16" s="12"/>
      <c r="G16" s="8"/>
      <c r="H16" s="12"/>
      <c r="I16" s="12"/>
      <c r="J16" s="8"/>
      <c r="K16" s="12"/>
      <c r="L16" s="12"/>
    </row>
    <row r="17" customFormat="false" ht="35.05" hidden="false" customHeight="false" outlineLevel="0" collapsed="false">
      <c r="A17" s="8" t="n">
        <v>13</v>
      </c>
      <c r="B17" s="12" t="s">
        <v>128</v>
      </c>
      <c r="C17" s="12" t="s">
        <v>129</v>
      </c>
      <c r="D17" s="8" t="s">
        <v>60</v>
      </c>
      <c r="E17" s="12" t="s">
        <v>130</v>
      </c>
      <c r="F17" s="12"/>
      <c r="G17" s="8"/>
      <c r="H17" s="12"/>
      <c r="I17" s="12"/>
      <c r="J17" s="8"/>
      <c r="K17" s="12"/>
      <c r="L17" s="12"/>
    </row>
    <row r="18" customFormat="false" ht="35.05" hidden="false" customHeight="false" outlineLevel="0" collapsed="false">
      <c r="A18" s="8" t="n">
        <v>14</v>
      </c>
      <c r="B18" s="12" t="s">
        <v>131</v>
      </c>
      <c r="C18" s="12" t="s">
        <v>132</v>
      </c>
      <c r="D18" s="8" t="s">
        <v>60</v>
      </c>
      <c r="E18" s="12" t="s">
        <v>133</v>
      </c>
      <c r="F18" s="12"/>
      <c r="G18" s="8"/>
      <c r="H18" s="12"/>
      <c r="I18" s="12"/>
      <c r="J18" s="8"/>
      <c r="K18" s="12"/>
      <c r="L18" s="12"/>
    </row>
    <row r="19" customFormat="false" ht="35.05" hidden="false" customHeight="false" outlineLevel="0" collapsed="false">
      <c r="A19" s="8" t="n">
        <v>15</v>
      </c>
      <c r="B19" s="12" t="s">
        <v>134</v>
      </c>
      <c r="C19" s="12" t="s">
        <v>135</v>
      </c>
      <c r="D19" s="8" t="s">
        <v>136</v>
      </c>
      <c r="E19" s="12" t="s">
        <v>137</v>
      </c>
      <c r="F19" s="12"/>
      <c r="G19" s="8"/>
      <c r="H19" s="12"/>
      <c r="I19" s="12"/>
      <c r="J19" s="8"/>
      <c r="K19" s="12"/>
      <c r="L19" s="12"/>
    </row>
    <row r="20" customFormat="false" ht="23.85" hidden="false" customHeight="false" outlineLevel="0" collapsed="false">
      <c r="A20" s="8" t="n">
        <v>16</v>
      </c>
      <c r="B20" s="12" t="s">
        <v>138</v>
      </c>
      <c r="C20" s="12" t="s">
        <v>139</v>
      </c>
      <c r="D20" s="8" t="s">
        <v>60</v>
      </c>
      <c r="E20" s="12" t="s">
        <v>140</v>
      </c>
      <c r="F20" s="12"/>
      <c r="G20" s="8"/>
      <c r="H20" s="12"/>
      <c r="I20" s="12"/>
      <c r="J20" s="8"/>
      <c r="K20" s="12"/>
      <c r="L20" s="12"/>
    </row>
    <row r="21" customFormat="false" ht="35.05" hidden="false" customHeight="false" outlineLevel="0" collapsed="false">
      <c r="A21" s="8" t="n">
        <v>17</v>
      </c>
      <c r="B21" s="12" t="s">
        <v>141</v>
      </c>
      <c r="C21" s="12" t="s">
        <v>142</v>
      </c>
      <c r="D21" s="8" t="s">
        <v>47</v>
      </c>
      <c r="E21" s="12" t="s">
        <v>143</v>
      </c>
      <c r="F21" s="12"/>
      <c r="G21" s="8"/>
      <c r="H21" s="12"/>
      <c r="I21" s="12"/>
      <c r="J21" s="8"/>
      <c r="K21" s="12"/>
      <c r="L21" s="12"/>
    </row>
    <row r="22" customFormat="false" ht="15" hidden="false" customHeight="false" outlineLevel="0" collapsed="false">
      <c r="A22" s="8"/>
      <c r="B22" s="12"/>
      <c r="C22" s="12"/>
      <c r="D22" s="8"/>
      <c r="E22" s="12"/>
      <c r="F22" s="12"/>
      <c r="G22" s="8"/>
      <c r="H22" s="12"/>
      <c r="I22" s="12"/>
      <c r="J22" s="8"/>
      <c r="K22" s="12"/>
      <c r="L22" s="12"/>
    </row>
    <row r="23" customFormat="false" ht="15" hidden="false" customHeight="false" outlineLevel="0" collapsed="false">
      <c r="A23" s="8"/>
      <c r="B23" s="12"/>
      <c r="C23" s="12"/>
      <c r="D23" s="8"/>
      <c r="E23" s="12"/>
      <c r="F23" s="12"/>
      <c r="G23" s="8"/>
      <c r="H23" s="12"/>
      <c r="I23" s="12"/>
      <c r="J23" s="8"/>
      <c r="K23" s="12"/>
      <c r="L23" s="12"/>
    </row>
    <row r="24" customFormat="false" ht="15" hidden="false" customHeight="false" outlineLevel="0" collapsed="false">
      <c r="A24" s="8"/>
      <c r="B24" s="12"/>
      <c r="C24" s="12"/>
      <c r="D24" s="8"/>
      <c r="E24" s="12"/>
      <c r="F24" s="12"/>
      <c r="G24" s="8"/>
      <c r="H24" s="12"/>
      <c r="I24" s="12"/>
      <c r="J24" s="8"/>
      <c r="K24" s="12"/>
      <c r="L24" s="12"/>
    </row>
    <row r="25" customFormat="false" ht="15" hidden="false" customHeight="false" outlineLevel="0" collapsed="false">
      <c r="A25" s="8"/>
      <c r="B25" s="12"/>
      <c r="C25" s="12"/>
      <c r="D25" s="8"/>
      <c r="E25" s="12"/>
      <c r="F25" s="12"/>
      <c r="G25" s="8"/>
      <c r="H25" s="12"/>
      <c r="I25" s="12"/>
      <c r="J25" s="8"/>
      <c r="K25" s="12"/>
      <c r="L25" s="12"/>
    </row>
    <row r="26" customFormat="false" ht="15" hidden="false" customHeight="false" outlineLevel="0" collapsed="false">
      <c r="A26" s="8"/>
      <c r="B26" s="12"/>
      <c r="C26" s="12"/>
      <c r="D26" s="8"/>
      <c r="E26" s="12"/>
      <c r="F26" s="12"/>
      <c r="G26" s="8"/>
      <c r="H26" s="12"/>
      <c r="I26" s="12"/>
      <c r="J26" s="8"/>
      <c r="K26" s="12"/>
      <c r="L26" s="12"/>
    </row>
    <row r="27" customFormat="false" ht="15" hidden="false" customHeight="false" outlineLevel="0" collapsed="false">
      <c r="A27" s="8"/>
      <c r="B27" s="12"/>
      <c r="C27" s="12"/>
      <c r="D27" s="8"/>
      <c r="E27" s="12"/>
      <c r="F27" s="12"/>
      <c r="G27" s="8"/>
      <c r="H27" s="12"/>
      <c r="I27" s="12"/>
      <c r="J27" s="8"/>
      <c r="K27" s="12"/>
      <c r="L27" s="12"/>
    </row>
    <row r="29" customFormat="false" ht="15" hidden="false" customHeight="false" outlineLevel="0" collapsed="false">
      <c r="B29" s="5" t="s">
        <v>66</v>
      </c>
    </row>
    <row r="30" customFormat="false" ht="15" hidden="false" customHeight="false" outlineLevel="0" collapsed="false">
      <c r="B30" s="13" t="s">
        <v>22</v>
      </c>
      <c r="C30" s="6" t="s">
        <v>67</v>
      </c>
    </row>
    <row r="31" customFormat="false" ht="15" hidden="false" customHeight="false" outlineLevel="0" collapsed="false">
      <c r="B31" s="14" t="s">
        <v>23</v>
      </c>
      <c r="C31" s="6" t="s">
        <v>68</v>
      </c>
    </row>
    <row r="32" customFormat="false" ht="15" hidden="false" customHeight="false" outlineLevel="0" collapsed="false">
      <c r="B32" s="15" t="s">
        <v>24</v>
      </c>
      <c r="C32" s="6" t="s">
        <v>69</v>
      </c>
    </row>
    <row r="33" customFormat="false" ht="15" hidden="false" customHeight="false" outlineLevel="0" collapsed="false">
      <c r="B33" s="16" t="s">
        <v>21</v>
      </c>
      <c r="C33" s="6" t="s">
        <v>70</v>
      </c>
    </row>
  </sheetData>
  <dataValidations count="2">
    <dataValidation allowBlank="true" error="Pilih salah satu: Belum Diuji, Sesuai, Partial Gap, Gap" errorStyle="stop" operator="between" prompt="Pilih status hasil pengujian" showDropDown="false" showErrorMessage="false" showInputMessage="false" sqref="G5:G27"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27"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144</v>
      </c>
    </row>
    <row r="2" customFormat="false" ht="15" hidden="false" customHeight="false" outlineLevel="0" collapsed="false">
      <c r="A2" s="2" t="s">
        <v>145</v>
      </c>
    </row>
    <row r="4" customFormat="false" ht="30" hidden="false" customHeight="true" outlineLevel="0" collapsed="false">
      <c r="A4" s="7" t="s">
        <v>19</v>
      </c>
      <c r="B4" s="7" t="s">
        <v>34</v>
      </c>
      <c r="C4" s="7" t="s">
        <v>35</v>
      </c>
      <c r="D4" s="7" t="s">
        <v>36</v>
      </c>
      <c r="E4" s="7" t="s">
        <v>37</v>
      </c>
      <c r="F4" s="7" t="s">
        <v>38</v>
      </c>
      <c r="G4" s="7" t="s">
        <v>39</v>
      </c>
      <c r="H4" s="7" t="s">
        <v>40</v>
      </c>
      <c r="I4" s="7" t="s">
        <v>41</v>
      </c>
      <c r="J4" s="7" t="s">
        <v>42</v>
      </c>
      <c r="K4" s="7" t="s">
        <v>43</v>
      </c>
      <c r="L4" s="7" t="s">
        <v>44</v>
      </c>
    </row>
    <row r="5" customFormat="false" ht="46.25" hidden="false" customHeight="false" outlineLevel="0" collapsed="false">
      <c r="A5" s="8" t="n">
        <v>1</v>
      </c>
      <c r="B5" s="12" t="s">
        <v>146</v>
      </c>
      <c r="C5" s="12" t="s">
        <v>147</v>
      </c>
      <c r="D5" s="8" t="s">
        <v>60</v>
      </c>
      <c r="E5" s="12" t="s">
        <v>148</v>
      </c>
      <c r="F5" s="12"/>
      <c r="G5" s="8"/>
      <c r="H5" s="12"/>
      <c r="I5" s="12"/>
      <c r="J5" s="8"/>
      <c r="K5" s="12"/>
      <c r="L5" s="12"/>
    </row>
    <row r="6" customFormat="false" ht="46.25" hidden="false" customHeight="false" outlineLevel="0" collapsed="false">
      <c r="A6" s="8" t="n">
        <v>2</v>
      </c>
      <c r="B6" s="12" t="s">
        <v>149</v>
      </c>
      <c r="C6" s="12" t="s">
        <v>150</v>
      </c>
      <c r="D6" s="8" t="s">
        <v>50</v>
      </c>
      <c r="E6" s="12" t="s">
        <v>151</v>
      </c>
      <c r="F6" s="12"/>
      <c r="G6" s="8"/>
      <c r="H6" s="12"/>
      <c r="I6" s="12"/>
      <c r="J6" s="8"/>
      <c r="K6" s="12"/>
      <c r="L6" s="12"/>
    </row>
    <row r="7" customFormat="false" ht="57.45" hidden="false" customHeight="false" outlineLevel="0" collapsed="false">
      <c r="A7" s="8" t="n">
        <v>3</v>
      </c>
      <c r="B7" s="12" t="s">
        <v>152</v>
      </c>
      <c r="C7" s="12" t="s">
        <v>153</v>
      </c>
      <c r="D7" s="8" t="s">
        <v>47</v>
      </c>
      <c r="E7" s="12" t="s">
        <v>154</v>
      </c>
      <c r="F7" s="12"/>
      <c r="G7" s="8"/>
      <c r="H7" s="12"/>
      <c r="I7" s="12"/>
      <c r="J7" s="8"/>
      <c r="K7" s="12"/>
      <c r="L7" s="12"/>
    </row>
    <row r="8" customFormat="false" ht="57.45" hidden="false" customHeight="false" outlineLevel="0" collapsed="false">
      <c r="A8" s="8" t="n">
        <v>4</v>
      </c>
      <c r="B8" s="12" t="s">
        <v>155</v>
      </c>
      <c r="C8" s="12" t="s">
        <v>156</v>
      </c>
      <c r="D8" s="8" t="s">
        <v>157</v>
      </c>
      <c r="E8" s="12" t="s">
        <v>158</v>
      </c>
      <c r="F8" s="12"/>
      <c r="G8" s="8"/>
      <c r="H8" s="12"/>
      <c r="I8" s="12"/>
      <c r="J8" s="8"/>
      <c r="K8" s="12"/>
      <c r="L8" s="12"/>
    </row>
    <row r="9" customFormat="false" ht="15" hidden="false" customHeight="false" outlineLevel="0" collapsed="false">
      <c r="A9" s="8"/>
      <c r="B9" s="12"/>
      <c r="C9" s="12"/>
      <c r="D9" s="8"/>
      <c r="E9" s="12"/>
      <c r="F9" s="12"/>
      <c r="G9" s="8"/>
      <c r="H9" s="12"/>
      <c r="I9" s="12"/>
      <c r="J9" s="8"/>
      <c r="K9" s="12"/>
      <c r="L9" s="12"/>
    </row>
    <row r="10" customFormat="false" ht="15" hidden="false" customHeight="false" outlineLevel="0" collapsed="false">
      <c r="A10" s="8"/>
      <c r="B10" s="12"/>
      <c r="C10" s="12"/>
      <c r="D10" s="8"/>
      <c r="E10" s="12"/>
      <c r="F10" s="12"/>
      <c r="G10" s="8"/>
      <c r="H10" s="12"/>
      <c r="I10" s="12"/>
      <c r="J10" s="8"/>
      <c r="K10" s="12"/>
      <c r="L10" s="12"/>
    </row>
    <row r="11" customFormat="false" ht="15" hidden="false" customHeight="false" outlineLevel="0" collapsed="false">
      <c r="A11" s="8"/>
      <c r="B11" s="12"/>
      <c r="C11" s="12"/>
      <c r="D11" s="8"/>
      <c r="E11" s="12"/>
      <c r="F11" s="12"/>
      <c r="G11" s="8"/>
      <c r="H11" s="12"/>
      <c r="I11" s="12"/>
      <c r="J11" s="8"/>
      <c r="K11" s="12"/>
      <c r="L11" s="12"/>
    </row>
    <row r="12" customFormat="false" ht="15" hidden="false" customHeight="false" outlineLevel="0" collapsed="false">
      <c r="A12" s="8"/>
      <c r="B12" s="12"/>
      <c r="C12" s="12"/>
      <c r="D12" s="8"/>
      <c r="E12" s="12"/>
      <c r="F12" s="12"/>
      <c r="G12" s="8"/>
      <c r="H12" s="12"/>
      <c r="I12" s="12"/>
      <c r="J12" s="8"/>
      <c r="K12" s="12"/>
      <c r="L12" s="12"/>
    </row>
    <row r="13" customFormat="false" ht="15" hidden="false" customHeight="false" outlineLevel="0" collapsed="false">
      <c r="A13" s="8"/>
      <c r="B13" s="12"/>
      <c r="C13" s="12"/>
      <c r="D13" s="8"/>
      <c r="E13" s="12"/>
      <c r="F13" s="12"/>
      <c r="G13" s="8"/>
      <c r="H13" s="12"/>
      <c r="I13" s="12"/>
      <c r="J13" s="8"/>
      <c r="K13" s="12"/>
      <c r="L13" s="12"/>
    </row>
    <row r="14" customFormat="false" ht="15" hidden="false" customHeight="false" outlineLevel="0" collapsed="false">
      <c r="A14" s="8"/>
      <c r="B14" s="12"/>
      <c r="C14" s="12"/>
      <c r="D14" s="8"/>
      <c r="E14" s="12"/>
      <c r="F14" s="12"/>
      <c r="G14" s="8"/>
      <c r="H14" s="12"/>
      <c r="I14" s="12"/>
      <c r="J14" s="8"/>
      <c r="K14" s="12"/>
      <c r="L14" s="12"/>
    </row>
    <row r="16" customFormat="false" ht="15" hidden="false" customHeight="false" outlineLevel="0" collapsed="false">
      <c r="B16" s="5" t="s">
        <v>66</v>
      </c>
    </row>
    <row r="17" customFormat="false" ht="15" hidden="false" customHeight="false" outlineLevel="0" collapsed="false">
      <c r="B17" s="13" t="s">
        <v>22</v>
      </c>
      <c r="C17" s="6" t="s">
        <v>67</v>
      </c>
    </row>
    <row r="18" customFormat="false" ht="15" hidden="false" customHeight="false" outlineLevel="0" collapsed="false">
      <c r="B18" s="14" t="s">
        <v>23</v>
      </c>
      <c r="C18" s="6" t="s">
        <v>68</v>
      </c>
    </row>
    <row r="19" customFormat="false" ht="15" hidden="false" customHeight="false" outlineLevel="0" collapsed="false">
      <c r="B19" s="15" t="s">
        <v>24</v>
      </c>
      <c r="C19" s="6" t="s">
        <v>69</v>
      </c>
    </row>
    <row r="20" customFormat="false" ht="15" hidden="false" customHeight="false" outlineLevel="0" collapsed="false">
      <c r="B20" s="16" t="s">
        <v>21</v>
      </c>
      <c r="C20" s="6" t="s">
        <v>70</v>
      </c>
    </row>
  </sheetData>
  <dataValidations count="2">
    <dataValidation allowBlank="true" error="Pilih salah satu: Belum Diuji, Sesuai, Partial Gap, Gap" errorStyle="stop" operator="between" prompt="Pilih status hasil pengujian" showDropDown="false" showErrorMessage="false" showInputMessage="false" sqref="G5:G14"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1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4" min="3" style="0" width="20"/>
    <col collapsed="false" customWidth="true" hidden="false" outlineLevel="0" max="5" min="5" style="0" width="34"/>
    <col collapsed="false" customWidth="true" hidden="false" outlineLevel="0" max="6" min="6" style="0" width="22"/>
    <col collapsed="false" customWidth="true" hidden="false" outlineLevel="0" max="7" min="7" style="0" width="12"/>
    <col collapsed="false" customWidth="true" hidden="false" outlineLevel="0" max="8" min="8" style="0" width="34"/>
    <col collapsed="false" customWidth="true" hidden="false" outlineLevel="0" max="9" min="9" style="0" width="20"/>
    <col collapsed="false" customWidth="true" hidden="false" outlineLevel="0" max="10" min="10" style="0" width="16"/>
    <col collapsed="false" customWidth="true" hidden="false" outlineLevel="0" max="11" min="11" style="0" width="14"/>
    <col collapsed="false" customWidth="true" hidden="false" outlineLevel="0" max="12" min="12" style="0" width="16"/>
  </cols>
  <sheetData>
    <row r="1" customFormat="false" ht="17.35" hidden="false" customHeight="false" outlineLevel="0" collapsed="false">
      <c r="A1" s="1" t="s">
        <v>159</v>
      </c>
    </row>
    <row r="2" customFormat="false" ht="15" hidden="false" customHeight="false" outlineLevel="0" collapsed="false">
      <c r="A2" s="2" t="s">
        <v>160</v>
      </c>
    </row>
    <row r="4" customFormat="false" ht="23.85" hidden="false" customHeight="false" outlineLevel="0" collapsed="false">
      <c r="A4" s="7" t="s">
        <v>19</v>
      </c>
      <c r="B4" s="7" t="s">
        <v>161</v>
      </c>
      <c r="C4" s="7" t="s">
        <v>162</v>
      </c>
      <c r="D4" s="7" t="s">
        <v>163</v>
      </c>
      <c r="E4" s="7" t="s">
        <v>40</v>
      </c>
      <c r="F4" s="7" t="s">
        <v>41</v>
      </c>
      <c r="G4" s="7" t="s">
        <v>42</v>
      </c>
      <c r="H4" s="7" t="s">
        <v>43</v>
      </c>
      <c r="I4" s="7" t="s">
        <v>164</v>
      </c>
      <c r="J4" s="7" t="s">
        <v>165</v>
      </c>
      <c r="K4" s="7" t="s">
        <v>166</v>
      </c>
      <c r="L4" s="7" t="s">
        <v>167</v>
      </c>
    </row>
    <row r="5" customFormat="false" ht="15" hidden="false" customHeight="false" outlineLevel="0" collapsed="false">
      <c r="A5" s="8" t="n">
        <v>1</v>
      </c>
      <c r="B5" s="8"/>
      <c r="C5" s="8"/>
      <c r="D5" s="8"/>
      <c r="E5" s="12"/>
      <c r="F5" s="12"/>
      <c r="G5" s="8"/>
      <c r="H5" s="12"/>
      <c r="I5" s="8"/>
      <c r="J5" s="8"/>
      <c r="K5" s="8"/>
      <c r="L5" s="8"/>
    </row>
    <row r="6" customFormat="false" ht="15" hidden="false" customHeight="false" outlineLevel="0" collapsed="false">
      <c r="A6" s="8" t="n">
        <v>2</v>
      </c>
      <c r="B6" s="8"/>
      <c r="C6" s="8"/>
      <c r="D6" s="8"/>
      <c r="E6" s="12"/>
      <c r="F6" s="12"/>
      <c r="G6" s="8"/>
      <c r="H6" s="12"/>
      <c r="I6" s="8"/>
      <c r="J6" s="8"/>
      <c r="K6" s="8"/>
      <c r="L6" s="8"/>
    </row>
    <row r="7" customFormat="false" ht="15" hidden="false" customHeight="false" outlineLevel="0" collapsed="false">
      <c r="A7" s="8" t="n">
        <v>3</v>
      </c>
      <c r="B7" s="8"/>
      <c r="C7" s="8"/>
      <c r="D7" s="8"/>
      <c r="E7" s="12"/>
      <c r="F7" s="12"/>
      <c r="G7" s="8"/>
      <c r="H7" s="12"/>
      <c r="I7" s="8"/>
      <c r="J7" s="8"/>
      <c r="K7" s="8"/>
      <c r="L7" s="8"/>
    </row>
    <row r="8" customFormat="false" ht="15" hidden="false" customHeight="false" outlineLevel="0" collapsed="false">
      <c r="A8" s="8" t="n">
        <v>4</v>
      </c>
      <c r="B8" s="8"/>
      <c r="C8" s="8"/>
      <c r="D8" s="8"/>
      <c r="E8" s="12"/>
      <c r="F8" s="12"/>
      <c r="G8" s="8"/>
      <c r="H8" s="12"/>
      <c r="I8" s="8"/>
      <c r="J8" s="8"/>
      <c r="K8" s="8"/>
      <c r="L8" s="8"/>
    </row>
    <row r="9" customFormat="false" ht="15" hidden="false" customHeight="false" outlineLevel="0" collapsed="false">
      <c r="A9" s="8" t="n">
        <v>5</v>
      </c>
      <c r="B9" s="8"/>
      <c r="C9" s="8"/>
      <c r="D9" s="8"/>
      <c r="E9" s="12"/>
      <c r="F9" s="12"/>
      <c r="G9" s="8"/>
      <c r="H9" s="12"/>
      <c r="I9" s="8"/>
      <c r="J9" s="8"/>
      <c r="K9" s="8"/>
      <c r="L9" s="8"/>
    </row>
    <row r="10" customFormat="false" ht="15" hidden="false" customHeight="false" outlineLevel="0" collapsed="false">
      <c r="A10" s="8" t="n">
        <v>6</v>
      </c>
      <c r="B10" s="8"/>
      <c r="C10" s="8"/>
      <c r="D10" s="8"/>
      <c r="E10" s="12"/>
      <c r="F10" s="12"/>
      <c r="G10" s="8"/>
      <c r="H10" s="12"/>
      <c r="I10" s="8"/>
      <c r="J10" s="8"/>
      <c r="K10" s="8"/>
      <c r="L10" s="8"/>
    </row>
    <row r="11" customFormat="false" ht="15" hidden="false" customHeight="false" outlineLevel="0" collapsed="false">
      <c r="A11" s="8" t="n">
        <v>7</v>
      </c>
      <c r="B11" s="8"/>
      <c r="C11" s="8"/>
      <c r="D11" s="8"/>
      <c r="E11" s="12"/>
      <c r="F11" s="12"/>
      <c r="G11" s="8"/>
      <c r="H11" s="12"/>
      <c r="I11" s="8"/>
      <c r="J11" s="8"/>
      <c r="K11" s="8"/>
      <c r="L11" s="8"/>
    </row>
    <row r="12" customFormat="false" ht="15" hidden="false" customHeight="false" outlineLevel="0" collapsed="false">
      <c r="A12" s="8" t="n">
        <v>8</v>
      </c>
      <c r="B12" s="8"/>
      <c r="C12" s="8"/>
      <c r="D12" s="8"/>
      <c r="E12" s="12"/>
      <c r="F12" s="12"/>
      <c r="G12" s="8"/>
      <c r="H12" s="12"/>
      <c r="I12" s="8"/>
      <c r="J12" s="8"/>
      <c r="K12" s="8"/>
      <c r="L12" s="8"/>
    </row>
    <row r="13" customFormat="false" ht="15" hidden="false" customHeight="false" outlineLevel="0" collapsed="false">
      <c r="A13" s="8" t="n">
        <v>9</v>
      </c>
      <c r="B13" s="8"/>
      <c r="C13" s="8"/>
      <c r="D13" s="8"/>
      <c r="E13" s="12"/>
      <c r="F13" s="12"/>
      <c r="G13" s="8"/>
      <c r="H13" s="12"/>
      <c r="I13" s="8"/>
      <c r="J13" s="8"/>
      <c r="K13" s="8"/>
      <c r="L13" s="8"/>
    </row>
    <row r="14" customFormat="false" ht="15" hidden="false" customHeight="false" outlineLevel="0" collapsed="false">
      <c r="A14" s="8" t="n">
        <v>10</v>
      </c>
      <c r="B14" s="8"/>
      <c r="C14" s="8"/>
      <c r="D14" s="8"/>
      <c r="E14" s="12"/>
      <c r="F14" s="12"/>
      <c r="G14" s="8"/>
      <c r="H14" s="12"/>
      <c r="I14" s="8"/>
      <c r="J14" s="8"/>
      <c r="K14" s="8"/>
      <c r="L14" s="8"/>
    </row>
    <row r="15" customFormat="false" ht="15" hidden="false" customHeight="false" outlineLevel="0" collapsed="false">
      <c r="A15" s="8" t="n">
        <v>11</v>
      </c>
      <c r="B15" s="8"/>
      <c r="C15" s="8"/>
      <c r="D15" s="8"/>
      <c r="E15" s="12"/>
      <c r="F15" s="12"/>
      <c r="G15" s="8"/>
      <c r="H15" s="12"/>
      <c r="I15" s="8"/>
      <c r="J15" s="8"/>
      <c r="K15" s="8"/>
      <c r="L15" s="8"/>
    </row>
    <row r="16" customFormat="false" ht="15" hidden="false" customHeight="false" outlineLevel="0" collapsed="false">
      <c r="A16" s="8" t="n">
        <v>12</v>
      </c>
      <c r="B16" s="8"/>
      <c r="C16" s="8"/>
      <c r="D16" s="8"/>
      <c r="E16" s="12"/>
      <c r="F16" s="12"/>
      <c r="G16" s="8"/>
      <c r="H16" s="12"/>
      <c r="I16" s="8"/>
      <c r="J16" s="8"/>
      <c r="K16" s="8"/>
      <c r="L16" s="8"/>
    </row>
    <row r="17" customFormat="false" ht="15" hidden="false" customHeight="false" outlineLevel="0" collapsed="false">
      <c r="A17" s="8" t="n">
        <v>13</v>
      </c>
      <c r="B17" s="8"/>
      <c r="C17" s="8"/>
      <c r="D17" s="8"/>
      <c r="E17" s="12"/>
      <c r="F17" s="12"/>
      <c r="G17" s="8"/>
      <c r="H17" s="12"/>
      <c r="I17" s="8"/>
      <c r="J17" s="8"/>
      <c r="K17" s="8"/>
      <c r="L17" s="8"/>
    </row>
    <row r="18" customFormat="false" ht="15" hidden="false" customHeight="false" outlineLevel="0" collapsed="false">
      <c r="A18" s="8" t="n">
        <v>14</v>
      </c>
      <c r="B18" s="8"/>
      <c r="C18" s="8"/>
      <c r="D18" s="8"/>
      <c r="E18" s="12"/>
      <c r="F18" s="12"/>
      <c r="G18" s="8"/>
      <c r="H18" s="12"/>
      <c r="I18" s="8"/>
      <c r="J18" s="8"/>
      <c r="K18" s="8"/>
      <c r="L18" s="8"/>
    </row>
    <row r="19" customFormat="false" ht="15" hidden="false" customHeight="false" outlineLevel="0" collapsed="false">
      <c r="A19" s="8" t="n">
        <v>15</v>
      </c>
      <c r="B19" s="8"/>
      <c r="C19" s="8"/>
      <c r="D19" s="8"/>
      <c r="E19" s="12"/>
      <c r="F19" s="12"/>
      <c r="G19" s="8"/>
      <c r="H19" s="12"/>
      <c r="I19" s="8"/>
      <c r="J19" s="8"/>
      <c r="K19" s="8"/>
      <c r="L19" s="8"/>
    </row>
    <row r="20" customFormat="false" ht="15" hidden="false" customHeight="false" outlineLevel="0" collapsed="false">
      <c r="A20" s="8" t="n">
        <v>16</v>
      </c>
      <c r="B20" s="8"/>
      <c r="C20" s="8"/>
      <c r="D20" s="8"/>
      <c r="E20" s="12"/>
      <c r="F20" s="12"/>
      <c r="G20" s="8"/>
      <c r="H20" s="12"/>
      <c r="I20" s="8"/>
      <c r="J20" s="8"/>
      <c r="K20" s="8"/>
      <c r="L20" s="8"/>
    </row>
    <row r="21" customFormat="false" ht="15" hidden="false" customHeight="false" outlineLevel="0" collapsed="false">
      <c r="A21" s="8" t="n">
        <v>17</v>
      </c>
      <c r="B21" s="8"/>
      <c r="C21" s="8"/>
      <c r="D21" s="8"/>
      <c r="E21" s="12"/>
      <c r="F21" s="12"/>
      <c r="G21" s="8"/>
      <c r="H21" s="12"/>
      <c r="I21" s="8"/>
      <c r="J21" s="8"/>
      <c r="K21" s="8"/>
      <c r="L21" s="8"/>
    </row>
    <row r="22" customFormat="false" ht="15" hidden="false" customHeight="false" outlineLevel="0" collapsed="false">
      <c r="A22" s="8" t="n">
        <v>18</v>
      </c>
      <c r="B22" s="8"/>
      <c r="C22" s="8"/>
      <c r="D22" s="8"/>
      <c r="E22" s="12"/>
      <c r="F22" s="12"/>
      <c r="G22" s="8"/>
      <c r="H22" s="12"/>
      <c r="I22" s="8"/>
      <c r="J22" s="8"/>
      <c r="K22" s="8"/>
      <c r="L22" s="8"/>
    </row>
    <row r="23" customFormat="false" ht="15" hidden="false" customHeight="false" outlineLevel="0" collapsed="false">
      <c r="A23" s="8" t="n">
        <v>19</v>
      </c>
      <c r="B23" s="8"/>
      <c r="C23" s="8"/>
      <c r="D23" s="8"/>
      <c r="E23" s="12"/>
      <c r="F23" s="12"/>
      <c r="G23" s="8"/>
      <c r="H23" s="12"/>
      <c r="I23" s="8"/>
      <c r="J23" s="8"/>
      <c r="K23" s="8"/>
      <c r="L23" s="8"/>
    </row>
    <row r="24" customFormat="false" ht="15" hidden="false" customHeight="false" outlineLevel="0" collapsed="false">
      <c r="A24" s="8" t="n">
        <v>20</v>
      </c>
      <c r="B24" s="8"/>
      <c r="C24" s="8"/>
      <c r="D24" s="8"/>
      <c r="E24" s="12"/>
      <c r="F24" s="12"/>
      <c r="G24" s="8"/>
      <c r="H24" s="12"/>
      <c r="I24" s="8"/>
      <c r="J24" s="8"/>
      <c r="K24" s="8"/>
      <c r="L24" s="8"/>
    </row>
  </sheetData>
  <dataValidations count="3">
    <dataValidation allowBlank="true" errorStyle="stop" operator="between" showDropDown="false" showErrorMessage="false" showInputMessage="false" sqref="G5:G24" type="list">
      <formula1>"High,Medium,Low"</formula1>
      <formula2>0</formula2>
    </dataValidation>
    <dataValidation allowBlank="true" errorStyle="stop" operator="between" showDropDown="false" showErrorMessage="false" showInputMessage="false" sqref="I5:I24" type="list">
      <formula1>"System Enhancement,New Initiative,Process/SOP Improvement,Others"</formula1>
      <formula2>0</formula2>
    </dataValidation>
    <dataValidation allowBlank="true" errorStyle="stop" operator="between" showDropDown="false" showErrorMessage="false" showInputMessage="false" sqref="L5:L24"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2026-07-27T16:21:27Z</dcterms:created>
  <dc:creator>openpyxl</dc:creator>
  <dc:description/>
  <dc:language>en-US</dc:language>
  <cp:lastModifiedBy/>
  <dcterms:modified xsi:type="dcterms:W3CDTF">2026-07-27T16:21:27Z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